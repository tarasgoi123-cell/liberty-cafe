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🗂 CRM База" sheetId="1" state="visible" r:id="rId1"/>
    <sheet name="💰 Угоди" sheetId="2" state="visible" r:id="rId2"/>
    <sheet name="📖 Легенда" sheetId="3" state="visible" r:id="rId3"/>
  </sheets>
  <definedNames>
    <definedName name="_xlnm._FilterDatabase" localSheetId="0" hidden="1">'🗂 CRM База'!$A$2:$W$477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"/>
    <numFmt numFmtId="165" formatCode="#,##0 &quot;грн&quot;"/>
    <numFmt numFmtId="166" formatCode="0.0&quot;%&quot;"/>
  </numFmts>
  <fonts count="32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i val="1"/>
      <color rgb="00FFFFFF"/>
      <sz val="8"/>
    </font>
    <font>
      <name val="Calibri"/>
      <b val="1"/>
      <color rgb="00FFFFFF"/>
      <sz val="8"/>
    </font>
    <font>
      <name val="Calibri"/>
      <color rgb="001E293B"/>
      <sz val="9"/>
    </font>
    <font>
      <name val="Calibri"/>
      <b val="1"/>
      <color rgb="0094A3B8"/>
      <sz val="9"/>
    </font>
    <font>
      <name val="Calibri"/>
      <color rgb="004F46E5"/>
      <sz val="9"/>
      <u val="single"/>
    </font>
    <font>
      <name val="Calibri"/>
      <color rgb="004F46E5"/>
      <sz val="11"/>
    </font>
    <font>
      <name val="Calibri"/>
      <b val="1"/>
      <color rgb="00059669"/>
      <sz val="9"/>
    </font>
    <font>
      <name val="Calibri"/>
      <color rgb="00059669"/>
      <sz val="11"/>
    </font>
    <font>
      <name val="Calibri"/>
      <color rgb="00CBD5E1"/>
      <sz val="11"/>
    </font>
    <font>
      <name val="Calibri"/>
      <b val="1"/>
      <color rgb="0092400E"/>
      <sz val="9"/>
    </font>
    <font>
      <name val="Calibri"/>
      <b val="1"/>
      <color rgb="00D97706"/>
      <sz val="9"/>
    </font>
    <font>
      <name val="Calibri"/>
      <color rgb="00059669"/>
      <sz val="9"/>
    </font>
    <font>
      <name val="Calibri"/>
      <color rgb="007C3AED"/>
      <sz val="9"/>
      <u val="single"/>
    </font>
    <font>
      <name val="Calibri"/>
      <color rgb="007C3AED"/>
      <sz val="11"/>
    </font>
    <font>
      <name val="Calibri"/>
      <b val="1"/>
      <color rgb="007C3AED"/>
      <sz val="9"/>
    </font>
    <font>
      <name val="Calibri"/>
      <color rgb="00E11D48"/>
      <sz val="11"/>
    </font>
    <font>
      <name val="Calibri"/>
      <b val="1"/>
      <color rgb="00065F46"/>
      <sz val="9"/>
    </font>
    <font>
      <name val="Calibri"/>
      <b val="1"/>
      <color rgb="00EA580C"/>
      <sz val="9"/>
    </font>
    <font>
      <name val="Calibri"/>
      <color rgb="00CBD5E1"/>
      <sz val="8"/>
    </font>
    <font>
      <name val="Calibri"/>
      <b val="1"/>
      <color rgb="00FFFFFF"/>
      <sz val="14"/>
    </font>
    <font>
      <name val="Calibri"/>
      <b val="1"/>
      <color rgb="00FFFFFF"/>
      <sz val="9"/>
    </font>
    <font>
      <name val="Calibri"/>
      <color rgb="001E293B"/>
      <sz val="10"/>
    </font>
    <font>
      <name val="Calibri"/>
      <b val="1"/>
      <color rgb="004F46E5"/>
      <sz val="11"/>
    </font>
    <font>
      <name val="Calibri"/>
      <b val="1"/>
      <color rgb="001E293B"/>
      <sz val="10"/>
    </font>
    <font>
      <name val="Calibri"/>
      <b val="1"/>
      <color rgb="00059669"/>
      <sz val="10"/>
    </font>
    <font>
      <name val="Calibri"/>
      <b val="1"/>
      <color rgb="00FFFFFF"/>
      <sz val="11"/>
    </font>
    <font>
      <name val="Calibri"/>
      <b val="1"/>
      <color rgb="00065F46"/>
      <sz val="16"/>
    </font>
    <font>
      <name val="Calibri"/>
      <b val="1"/>
      <color rgb="00C7D2FE"/>
      <sz val="8"/>
    </font>
    <font>
      <name val="Calibri"/>
      <b val="1"/>
      <color rgb="004F46E5"/>
      <sz val="14"/>
    </font>
    <font>
      <name val="Calibri"/>
      <b val="1"/>
      <color rgb="00FFFFFF"/>
      <sz val="13"/>
    </font>
  </fonts>
  <fills count="18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4F46E5"/>
      </patternFill>
    </fill>
    <fill>
      <patternFill patternType="solid">
        <fgColor rgb="00D97706"/>
      </patternFill>
    </fill>
    <fill>
      <patternFill patternType="solid">
        <fgColor rgb="00059669"/>
      </patternFill>
    </fill>
    <fill>
      <patternFill patternType="solid">
        <fgColor rgb="00FFFFFF"/>
      </patternFill>
    </fill>
    <fill>
      <patternFill patternType="solid">
        <fgColor rgb="00ECFDF5"/>
      </patternFill>
    </fill>
    <fill>
      <patternFill patternType="solid">
        <fgColor rgb="00FFFBEB"/>
      </patternFill>
    </fill>
    <fill>
      <patternFill patternType="solid">
        <fgColor rgb="00FEF3C7"/>
      </patternFill>
    </fill>
    <fill>
      <patternFill patternType="solid">
        <fgColor rgb="00F8FAFC"/>
      </patternFill>
    </fill>
    <fill>
      <patternFill patternType="solid">
        <fgColor rgb="00F5F3FF"/>
      </patternFill>
    </fill>
    <fill>
      <patternFill patternType="solid">
        <fgColor rgb="00FFF7ED"/>
      </patternFill>
    </fill>
    <fill>
      <patternFill patternType="solid">
        <fgColor rgb="00064E3B"/>
      </patternFill>
    </fill>
    <fill>
      <patternFill patternType="solid">
        <fgColor rgb="00EEF2FF"/>
      </patternFill>
    </fill>
    <fill>
      <patternFill patternType="solid">
        <fgColor rgb="00EFF6FF"/>
      </patternFill>
    </fill>
    <fill>
      <patternFill patternType="solid">
        <fgColor rgb="007C3AED"/>
      </patternFill>
    </fill>
    <fill>
      <patternFill patternType="solid">
        <fgColor rgb="00FFF1F2"/>
      </patternFill>
    </fill>
  </fills>
  <borders count="9">
    <border>
      <left/>
      <right/>
      <top/>
      <bottom/>
      <diagonal/>
    </border>
    <border>
      <left style="thin">
        <color rgb="001E293B"/>
      </left>
      <right style="thin">
        <color rgb="001E293B"/>
      </right>
      <top style="thin">
        <color rgb="001E293B"/>
      </top>
      <bottom style="thin">
        <color rgb="001E293B"/>
      </bottom>
    </border>
    <border>
      <left style="thin">
        <color rgb="004F46E5"/>
      </left>
      <right style="thin">
        <color rgb="004F46E5"/>
      </right>
      <top style="thin">
        <color rgb="004F46E5"/>
      </top>
      <bottom style="thin">
        <color rgb="004F46E5"/>
      </bottom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059669"/>
      </left>
      <right style="thin">
        <color rgb="00059669"/>
      </right>
      <top style="thin">
        <color rgb="00059669"/>
      </top>
      <bottom style="thin">
        <color rgb="00059669"/>
      </bottom>
    </border>
    <border>
      <left/>
      <right/>
      <top/>
      <bottom style="thin">
        <color rgb="00DEE3EA"/>
      </bottom>
    </border>
    <border>
      <left style="thin">
        <color rgb="00064E3B"/>
      </left>
      <right style="thin">
        <color rgb="00064E3B"/>
      </right>
      <top style="thin">
        <color rgb="00064E3B"/>
      </top>
      <bottom style="thin">
        <color rgb="00064E3B"/>
      </bottom>
    </border>
    <border>
      <left/>
      <right/>
      <top/>
      <bottom style="thin">
        <color rgb="00FFFFFF"/>
      </bottom>
    </border>
    <border>
      <left/>
      <right/>
      <top/>
      <bottom style="thin">
        <color rgb="00FFFFFF"/>
      </bottom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5" fillId="6" borderId="5" applyAlignment="1" pivotButton="0" quotePrefix="0" xfId="0">
      <alignment horizontal="center" vertical="center" wrapText="1"/>
    </xf>
    <xf numFmtId="0" fontId="4" fillId="6" borderId="5" applyAlignment="1" pivotButton="0" quotePrefix="0" xfId="0">
      <alignment horizontal="left" vertical="center" wrapText="1"/>
    </xf>
    <xf numFmtId="0" fontId="4" fillId="6" borderId="5" applyAlignment="1" pivotButton="0" quotePrefix="0" xfId="0">
      <alignment horizontal="center" vertical="center" wrapText="1"/>
    </xf>
    <xf numFmtId="0" fontId="6" fillId="6" borderId="5" applyAlignment="1" pivotButton="0" quotePrefix="0" xfId="0">
      <alignment horizontal="left" vertical="center" wrapText="1"/>
    </xf>
    <xf numFmtId="0" fontId="7" fillId="6" borderId="5" applyAlignment="1" pivotButton="0" quotePrefix="0" xfId="0">
      <alignment horizontal="center" vertical="center" wrapText="1"/>
    </xf>
    <xf numFmtId="0" fontId="8" fillId="7" borderId="5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0" fillId="6" borderId="5" applyAlignment="1" pivotButton="0" quotePrefix="0" xfId="0">
      <alignment horizontal="center" vertical="center" wrapText="1"/>
    </xf>
    <xf numFmtId="0" fontId="11" fillId="8" borderId="5" applyAlignment="1" pivotButton="0" quotePrefix="0" xfId="0">
      <alignment horizontal="center" vertical="center" wrapText="1"/>
    </xf>
    <xf numFmtId="164" fontId="4" fillId="6" borderId="5" applyAlignment="1" pivotButton="0" quotePrefix="0" xfId="0">
      <alignment horizontal="center" vertical="center" wrapText="1"/>
    </xf>
    <xf numFmtId="0" fontId="12" fillId="9" borderId="5" applyAlignment="1" pivotButton="0" quotePrefix="0" xfId="0">
      <alignment horizontal="center" vertical="center" wrapText="1"/>
    </xf>
    <xf numFmtId="0" fontId="5" fillId="10" borderId="5" applyAlignment="1" pivotButton="0" quotePrefix="0" xfId="0">
      <alignment horizontal="center" vertical="center" wrapText="1"/>
    </xf>
    <xf numFmtId="0" fontId="4" fillId="10" borderId="5" applyAlignment="1" pivotButton="0" quotePrefix="0" xfId="0">
      <alignment horizontal="left" vertical="center" wrapText="1"/>
    </xf>
    <xf numFmtId="0" fontId="13" fillId="10" borderId="5" applyAlignment="1" pivotButton="0" quotePrefix="0" xfId="0">
      <alignment horizontal="center" vertical="center" wrapText="1"/>
    </xf>
    <xf numFmtId="0" fontId="4" fillId="10" borderId="5" applyAlignment="1" pivotButton="0" quotePrefix="0" xfId="0">
      <alignment horizontal="center" vertical="center" wrapText="1"/>
    </xf>
    <xf numFmtId="0" fontId="6" fillId="10" borderId="5" applyAlignment="1" pivotButton="0" quotePrefix="0" xfId="0">
      <alignment horizontal="left" vertical="center" wrapText="1"/>
    </xf>
    <xf numFmtId="0" fontId="7" fillId="10" borderId="5" applyAlignment="1" pivotButton="0" quotePrefix="0" xfId="0">
      <alignment horizontal="center" vertical="center" wrapText="1"/>
    </xf>
    <xf numFmtId="0" fontId="9" fillId="10" borderId="5" applyAlignment="1" pivotButton="0" quotePrefix="0" xfId="0">
      <alignment horizontal="center" vertical="center" wrapText="1"/>
    </xf>
    <xf numFmtId="0" fontId="10" fillId="10" borderId="5" applyAlignment="1" pivotButton="0" quotePrefix="0" xfId="0">
      <alignment horizontal="center" vertical="center" wrapText="1"/>
    </xf>
    <xf numFmtId="164" fontId="4" fillId="10" borderId="5" applyAlignment="1" pivotButton="0" quotePrefix="0" xfId="0">
      <alignment horizontal="center" vertical="center" wrapText="1"/>
    </xf>
    <xf numFmtId="0" fontId="20" fillId="0" borderId="0" pivotButton="0" quotePrefix="0" xfId="0"/>
    <xf numFmtId="0" fontId="4" fillId="0" borderId="0" pivotButton="0" quotePrefix="0" xfId="0"/>
    <xf numFmtId="0" fontId="14" fillId="10" borderId="5" applyAlignment="1" pivotButton="0" quotePrefix="0" xfId="0">
      <alignment horizontal="left" vertical="center" wrapText="1"/>
    </xf>
    <xf numFmtId="0" fontId="15" fillId="10" borderId="5" applyAlignment="1" pivotButton="0" quotePrefix="0" xfId="0">
      <alignment horizontal="center" vertical="center" wrapText="1"/>
    </xf>
    <xf numFmtId="0" fontId="13" fillId="6" borderId="5" applyAlignment="1" pivotButton="0" quotePrefix="0" xfId="0">
      <alignment horizontal="center" vertical="center" wrapText="1"/>
    </xf>
    <xf numFmtId="0" fontId="14" fillId="6" borderId="5" applyAlignment="1" pivotButton="0" quotePrefix="0" xfId="0">
      <alignment horizontal="left" vertical="center" wrapText="1"/>
    </xf>
    <xf numFmtId="0" fontId="15" fillId="6" borderId="5" applyAlignment="1" pivotButton="0" quotePrefix="0" xfId="0">
      <alignment horizontal="center" vertical="center" wrapText="1"/>
    </xf>
    <xf numFmtId="0" fontId="16" fillId="11" borderId="5" applyAlignment="1" pivotButton="0" quotePrefix="0" xfId="0">
      <alignment horizontal="center" vertical="center" wrapText="1"/>
    </xf>
    <xf numFmtId="0" fontId="17" fillId="10" borderId="5" applyAlignment="1" pivotButton="0" quotePrefix="0" xfId="0">
      <alignment horizontal="center" vertical="center" wrapText="1"/>
    </xf>
    <xf numFmtId="0" fontId="18" fillId="7" borderId="5" applyAlignment="1" pivotButton="0" quotePrefix="0" xfId="0">
      <alignment horizontal="center" vertical="center" wrapText="1"/>
    </xf>
    <xf numFmtId="0" fontId="17" fillId="6" borderId="5" applyAlignment="1" pivotButton="0" quotePrefix="0" xfId="0">
      <alignment horizontal="center" vertical="center" wrapText="1"/>
    </xf>
    <xf numFmtId="0" fontId="19" fillId="12" borderId="5" applyAlignment="1" pivotButton="0" quotePrefix="0" xfId="0">
      <alignment horizontal="center" vertical="center" wrapText="1"/>
    </xf>
    <xf numFmtId="0" fontId="21" fillId="5" borderId="0" applyAlignment="1" pivotButton="0" quotePrefix="0" xfId="0">
      <alignment horizontal="center" vertical="center" wrapText="1"/>
    </xf>
    <xf numFmtId="0" fontId="22" fillId="13" borderId="6" applyAlignment="1" pivotButton="0" quotePrefix="0" xfId="0">
      <alignment horizontal="center" vertical="center" wrapText="1"/>
    </xf>
    <xf numFmtId="0" fontId="24" fillId="6" borderId="5" applyAlignment="1" pivotButton="0" quotePrefix="0" xfId="0">
      <alignment horizontal="center" vertical="center" wrapText="1"/>
    </xf>
    <xf numFmtId="0" fontId="25" fillId="6" borderId="5" applyAlignment="1" pivotButton="0" quotePrefix="0" xfId="0">
      <alignment horizontal="left" vertical="center" wrapText="1"/>
    </xf>
    <xf numFmtId="0" fontId="23" fillId="6" borderId="5" applyAlignment="1" pivotButton="0" quotePrefix="0" xfId="0">
      <alignment horizontal="center" vertical="center" wrapText="1"/>
    </xf>
    <xf numFmtId="165" fontId="26" fillId="6" borderId="5" applyAlignment="1" pivotButton="0" quotePrefix="0" xfId="0">
      <alignment horizontal="center" vertical="center" wrapText="1"/>
    </xf>
    <xf numFmtId="164" fontId="23" fillId="6" borderId="5" applyAlignment="1" pivotButton="0" quotePrefix="0" xfId="0">
      <alignment horizontal="center" vertical="center" wrapText="1"/>
    </xf>
    <xf numFmtId="0" fontId="23" fillId="6" borderId="5" applyAlignment="1" pivotButton="0" quotePrefix="0" xfId="0">
      <alignment horizontal="left" vertical="center" wrapText="1"/>
    </xf>
    <xf numFmtId="0" fontId="24" fillId="10" borderId="5" applyAlignment="1" pivotButton="0" quotePrefix="0" xfId="0">
      <alignment horizontal="center" vertical="center" wrapText="1"/>
    </xf>
    <xf numFmtId="0" fontId="25" fillId="10" borderId="5" applyAlignment="1" pivotButton="0" quotePrefix="0" xfId="0">
      <alignment horizontal="left" vertical="center" wrapText="1"/>
    </xf>
    <xf numFmtId="0" fontId="23" fillId="10" borderId="5" applyAlignment="1" pivotButton="0" quotePrefix="0" xfId="0">
      <alignment horizontal="center" vertical="center" wrapText="1"/>
    </xf>
    <xf numFmtId="165" fontId="26" fillId="10" borderId="5" applyAlignment="1" pivotButton="0" quotePrefix="0" xfId="0">
      <alignment horizontal="center" vertical="center" wrapText="1"/>
    </xf>
    <xf numFmtId="164" fontId="23" fillId="10" borderId="5" applyAlignment="1" pivotButton="0" quotePrefix="0" xfId="0">
      <alignment horizontal="center" vertical="center" wrapText="1"/>
    </xf>
    <xf numFmtId="0" fontId="23" fillId="10" borderId="5" applyAlignment="1" pivotButton="0" quotePrefix="0" xfId="0">
      <alignment horizontal="left" vertical="center" wrapText="1"/>
    </xf>
    <xf numFmtId="0" fontId="29" fillId="2" borderId="0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 vertical="center" wrapText="1"/>
    </xf>
    <xf numFmtId="165" fontId="28" fillId="7" borderId="0" applyAlignment="1" pivotButton="0" quotePrefix="0" xfId="0">
      <alignment horizontal="center" vertical="center" wrapText="1"/>
    </xf>
    <xf numFmtId="1" fontId="30" fillId="14" borderId="0" applyAlignment="1" pivotButton="0" quotePrefix="0" xfId="0">
      <alignment horizontal="center" vertical="center" wrapText="1"/>
    </xf>
    <xf numFmtId="166" fontId="30" fillId="14" borderId="0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center" vertical="center" wrapText="1"/>
    </xf>
    <xf numFmtId="0" fontId="1" fillId="3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23" fillId="15" borderId="7" applyAlignment="1" pivotButton="0" quotePrefix="0" xfId="0">
      <alignment horizontal="left" vertical="center" wrapText="1"/>
    </xf>
    <xf numFmtId="0" fontId="1" fillId="4" borderId="7" applyAlignment="1" pivotButton="0" quotePrefix="0" xfId="0">
      <alignment horizontal="left" vertical="center" wrapText="1"/>
    </xf>
    <xf numFmtId="0" fontId="23" fillId="8" borderId="7" applyAlignment="1" pivotButton="0" quotePrefix="0" xfId="0">
      <alignment horizontal="left" vertical="center" wrapText="1"/>
    </xf>
    <xf numFmtId="0" fontId="1" fillId="5" borderId="7" applyAlignment="1" pivotButton="0" quotePrefix="0" xfId="0">
      <alignment horizontal="left" vertical="center" wrapText="1"/>
    </xf>
    <xf numFmtId="0" fontId="23" fillId="7" borderId="7" applyAlignment="1" pivotButton="0" quotePrefix="0" xfId="0">
      <alignment horizontal="left" vertical="center" wrapText="1"/>
    </xf>
    <xf numFmtId="0" fontId="1" fillId="16" borderId="7" applyAlignment="1" pivotButton="0" quotePrefix="0" xfId="0">
      <alignment horizontal="left" vertical="center" wrapText="1"/>
    </xf>
    <xf numFmtId="0" fontId="23" fillId="17" borderId="7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barChart>
        <barDir val="col"/>
        <grouping val="clustered"/>
        <ser>
          <idx val="0"/>
          <order val="0"/>
          <spPr>
            <a:solidFill>
              <a:srgbClr val="4F46E5"/>
            </a:solidFill>
            <a:ln>
              <a:solidFill>
                <a:srgbClr val="4F46E5"/>
              </a:solidFill>
              <a:prstDash val="solid"/>
            </a:ln>
          </spPr>
          <cat>
            <numRef>
              <f>'🗂 CRM База'!$Y$4:$Y$9</f>
            </numRef>
          </cat>
          <val>
            <numRef>
              <f>'🗂 CRM База'!$Z$4:$Z$9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Конверсія по статусах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3B82F6"/>
              </a:solidFill>
              <a:ln>
                <a:prstDash val="solid"/>
              </a:ln>
            </spPr>
          </dPt>
          <dPt>
            <idx val="1"/>
            <spPr>
              <a:solidFill>
                <a:srgbClr val="10B981"/>
              </a:solidFill>
              <a:ln>
                <a:prstDash val="solid"/>
              </a:ln>
            </spPr>
          </dPt>
          <dPt>
            <idx val="2"/>
            <spPr>
              <a:solidFill>
                <a:srgbClr val="F59E0B"/>
              </a:solidFill>
              <a:ln>
                <a:prstDash val="solid"/>
              </a:ln>
            </spPr>
          </dPt>
          <dPt>
            <idx val="3"/>
            <spPr>
              <a:solidFill>
                <a:srgbClr val="8B5CF6"/>
              </a:solidFill>
              <a:ln>
                <a:prstDash val="solid"/>
              </a:ln>
            </spPr>
          </dPt>
          <dPt>
            <idx val="4"/>
            <spPr>
              <a:solidFill>
                <a:srgbClr val="22C55E"/>
              </a:solidFill>
              <a:ln>
                <a:prstDash val="solid"/>
              </a:ln>
            </spPr>
          </dPt>
          <dPt>
            <idx val="5"/>
            <spPr>
              <a:solidFill>
                <a:srgbClr val="EF4444"/>
              </a:solidFill>
              <a:ln>
                <a:prstDash val="solid"/>
              </a:ln>
            </spPr>
          </dPt>
          <dLbls>
            <showVal val="0"/>
            <showCatName val="0"/>
            <showPercent val="1"/>
          </dLbls>
          <cat>
            <numRef>
              <f>'💰 Угоди'!$H$3:$H$8</f>
            </numRef>
          </cat>
          <val>
            <numRef>
              <f>'💰 Угоди'!$I$3:$I$8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24</col>
      <colOff>0</colOff>
      <row>11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4</row>
      <rowOff>0</rowOff>
    </from>
    <ext cx="50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cacao.lviv?igsh=YzFyMm5yaDl0ZnE=" TargetMode="External" Id="rId1" /><Relationship Type="http://schemas.openxmlformats.org/officeDocument/2006/relationships/hyperlink" Target="https://www.google.com/maps?q=49.7894751,24.0583104" TargetMode="External" Id="rId2" /><Relationship Type="http://schemas.openxmlformats.org/officeDocument/2006/relationships/hyperlink" Target="tel:+380680551717" TargetMode="External" Id="rId3" /><Relationship Type="http://schemas.openxmlformats.org/officeDocument/2006/relationships/hyperlink" Target="https://www.velyka-brytaniya.celentano.delivery/" TargetMode="External" Id="rId4" /><Relationship Type="http://schemas.openxmlformats.org/officeDocument/2006/relationships/hyperlink" Target="https://www.google.com/maps?q=49.8447135,24.0093283" TargetMode="External" Id="rId5" /><Relationship Type="http://schemas.openxmlformats.org/officeDocument/2006/relationships/hyperlink" Target="https://cheesebakery.com.ua/" TargetMode="External" Id="rId6" /><Relationship Type="http://schemas.openxmlformats.org/officeDocument/2006/relationships/hyperlink" Target="https://www.google.com/maps?q=49.8493185,23.9991174" TargetMode="External" Id="rId7" /><Relationship Type="http://schemas.openxmlformats.org/officeDocument/2006/relationships/hyperlink" Target="tel:+380673444423" TargetMode="External" Id="rId8" /><Relationship Type="http://schemas.openxmlformats.org/officeDocument/2006/relationships/hyperlink" Target="https://www.facebook.com/coffeelablviv" TargetMode="External" Id="rId9" /><Relationship Type="http://schemas.openxmlformats.org/officeDocument/2006/relationships/hyperlink" Target="https://www.google.com/maps?q=49.8202077,24.0199248" TargetMode="External" Id="rId10" /><Relationship Type="http://schemas.openxmlformats.org/officeDocument/2006/relationships/hyperlink" Target="https://www.instagram.com/coffeepower__/" TargetMode="External" Id="rId11" /><Relationship Type="http://schemas.openxmlformats.org/officeDocument/2006/relationships/hyperlink" Target="https://www.google.com/maps?q=49.8742982,24.0349139" TargetMode="External" Id="rId12" /><Relationship Type="http://schemas.openxmlformats.org/officeDocument/2006/relationships/hyperlink" Target="tel:+380678652323" TargetMode="External" Id="rId13" /><Relationship Type="http://schemas.openxmlformats.org/officeDocument/2006/relationships/hyperlink" Target="https://inst: @jam.cafe_lv" TargetMode="External" Id="rId14" /><Relationship Type="http://schemas.openxmlformats.org/officeDocument/2006/relationships/hyperlink" Target="https://www.google.com/maps?q=49.8556772,24.0459148" TargetMode="External" Id="rId15" /><Relationship Type="http://schemas.openxmlformats.org/officeDocument/2006/relationships/hyperlink" Target="https://www.kredens.com.ua" TargetMode="External" Id="rId16" /><Relationship Type="http://schemas.openxmlformats.org/officeDocument/2006/relationships/hyperlink" Target="https://www.google.com/maps?q=49.8095588,24.0616924" TargetMode="External" Id="rId17" /><Relationship Type="http://schemas.openxmlformats.org/officeDocument/2006/relationships/hyperlink" Target="https://instagram.com/kredenscafe" TargetMode="External" Id="rId18" /><Relationship Type="http://schemas.openxmlformats.org/officeDocument/2006/relationships/hyperlink" Target="https://www.kredens.com.ua/" TargetMode="External" Id="rId19" /><Relationship Type="http://schemas.openxmlformats.org/officeDocument/2006/relationships/hyperlink" Target="https://www.google.com/maps?q=49.8073545,23.9793898" TargetMode="External" Id="rId20" /><Relationship Type="http://schemas.openxmlformats.org/officeDocument/2006/relationships/hyperlink" Target="tel:+380974404060" TargetMode="External" Id="rId21" /><Relationship Type="http://schemas.openxmlformats.org/officeDocument/2006/relationships/hyperlink" Target="http://pizza-lapiec.com.ua" TargetMode="External" Id="rId22" /><Relationship Type="http://schemas.openxmlformats.org/officeDocument/2006/relationships/hyperlink" Target="https://www.google.com/maps?q=49.8016996,24.0430562" TargetMode="External" Id="rId23" /><Relationship Type="http://schemas.openxmlformats.org/officeDocument/2006/relationships/hyperlink" Target="tel:+380974404060" TargetMode="External" Id="rId24" /><Relationship Type="http://schemas.openxmlformats.org/officeDocument/2006/relationships/hyperlink" Target="http://pizza-lapiec.com.ua" TargetMode="External" Id="rId25" /><Relationship Type="http://schemas.openxmlformats.org/officeDocument/2006/relationships/hyperlink" Target="https://www.google.com/maps?q=49.8620214,24.0230745" TargetMode="External" Id="rId26" /><Relationship Type="http://schemas.openxmlformats.org/officeDocument/2006/relationships/hyperlink" Target="tel:+380675331513" TargetMode="External" Id="rId27" /><Relationship Type="http://schemas.openxmlformats.org/officeDocument/2006/relationships/hyperlink" Target="http://bit.ly/LePetitCaf%C3%A9Lviv-Menu" TargetMode="External" Id="rId28" /><Relationship Type="http://schemas.openxmlformats.org/officeDocument/2006/relationships/hyperlink" Target="https://www.google.com/maps?q=49.8405956,24.0309833" TargetMode="External" Id="rId29" /><Relationship Type="http://schemas.openxmlformats.org/officeDocument/2006/relationships/hyperlink" Target="tel:+380677264924" TargetMode="External" Id="rId30" /><Relationship Type="http://schemas.openxmlformats.org/officeDocument/2006/relationships/hyperlink" Target="https://libraria.com.ua/" TargetMode="External" Id="rId31" /><Relationship Type="http://schemas.openxmlformats.org/officeDocument/2006/relationships/hyperlink" Target="https://www.google.com/maps?q=49.8436367,24.0308484" TargetMode="External" Id="rId32" /><Relationship Type="http://schemas.openxmlformats.org/officeDocument/2006/relationships/hyperlink" Target="tel:0970744686" TargetMode="External" Id="rId33" /><Relationship Type="http://schemas.openxmlformats.org/officeDocument/2006/relationships/hyperlink" Target="https://www.instagram.com/locals_bistro?igsh=MW12c3EzOGxoOXZ1ag==" TargetMode="External" Id="rId34" /><Relationship Type="http://schemas.openxmlformats.org/officeDocument/2006/relationships/hyperlink" Target="https://www.google.com/maps?q=49.844135,24.0076318" TargetMode="External" Id="rId35" /><Relationship Type="http://schemas.openxmlformats.org/officeDocument/2006/relationships/hyperlink" Target="tel:+380678753506" TargetMode="External" Id="rId36" /><Relationship Type="http://schemas.openxmlformats.org/officeDocument/2006/relationships/hyperlink" Target="https://instagram.com/LvivCroissants" TargetMode="External" Id="rId37" /><Relationship Type="http://schemas.openxmlformats.org/officeDocument/2006/relationships/hyperlink" Target="https://www.lviv-croissants.com/" TargetMode="External" Id="rId38" /><Relationship Type="http://schemas.openxmlformats.org/officeDocument/2006/relationships/hyperlink" Target="https://www.google.com/maps?q=49.8452479,24.0200632" TargetMode="External" Id="rId39" /><Relationship Type="http://schemas.openxmlformats.org/officeDocument/2006/relationships/hyperlink" Target="tel:+380971830618" TargetMode="External" Id="rId40" /><Relationship Type="http://schemas.openxmlformats.org/officeDocument/2006/relationships/hyperlink" Target="https://mapizza.com.ua/" TargetMode="External" Id="rId41" /><Relationship Type="http://schemas.openxmlformats.org/officeDocument/2006/relationships/hyperlink" Target="https://www.google.com/maps?q=49.8217262,24.0798032" TargetMode="External" Id="rId42" /><Relationship Type="http://schemas.openxmlformats.org/officeDocument/2006/relationships/hyperlink" Target="tel:+380686931842" TargetMode="External" Id="rId43" /><Relationship Type="http://schemas.openxmlformats.org/officeDocument/2006/relationships/hyperlink" Target="https://mykava.ua/" TargetMode="External" Id="rId44" /><Relationship Type="http://schemas.openxmlformats.org/officeDocument/2006/relationships/hyperlink" Target="https://www.google.com/maps?q=49.8378547,24.0388765" TargetMode="External" Id="rId45" /><Relationship Type="http://schemas.openxmlformats.org/officeDocument/2006/relationships/hyperlink" Target="tel:+380322975674" TargetMode="External" Id="rId46" /><Relationship Type="http://schemas.openxmlformats.org/officeDocument/2006/relationships/hyperlink" Target="https://peopleplacebar.choiceqr.com/a/QUYb-SDIt" TargetMode="External" Id="rId47" /><Relationship Type="http://schemas.openxmlformats.org/officeDocument/2006/relationships/hyperlink" Target="https://www.google.com/maps?q=49.8405716,24.030871" TargetMode="External" Id="rId48" /><Relationship Type="http://schemas.openxmlformats.org/officeDocument/2006/relationships/hyperlink" Target="https://rockfellow.com.ua/" TargetMode="External" Id="rId49" /><Relationship Type="http://schemas.openxmlformats.org/officeDocument/2006/relationships/hyperlink" Target="https://www.google.com/maps?q=49.8337646,24.0152094" TargetMode="External" Id="rId50" /><Relationship Type="http://schemas.openxmlformats.org/officeDocument/2006/relationships/hyperlink" Target="https://shoco-zwin.choiceqr.com/" TargetMode="External" Id="rId51" /><Relationship Type="http://schemas.openxmlformats.org/officeDocument/2006/relationships/hyperlink" Target="https://www.google.com/maps?q=49.8111547,23.9829639" TargetMode="External" Id="rId52" /><Relationship Type="http://schemas.openxmlformats.org/officeDocument/2006/relationships/hyperlink" Target="https://www.instagram.com/saturdayscoffeelviv" TargetMode="External" Id="rId53" /><Relationship Type="http://schemas.openxmlformats.org/officeDocument/2006/relationships/hyperlink" Target="https://www.google.com/maps?q=49.8391171,24.034597" TargetMode="External" Id="rId54" /><Relationship Type="http://schemas.openxmlformats.org/officeDocument/2006/relationships/hyperlink" Target="tel:+380986349046" TargetMode="External" Id="rId55" /><Relationship Type="http://schemas.openxmlformats.org/officeDocument/2006/relationships/hyperlink" Target="https://www.facebook.com/sowalviv" TargetMode="External" Id="rId56" /><Relationship Type="http://schemas.openxmlformats.org/officeDocument/2006/relationships/hyperlink" Target="https://www.google.com/maps?q=49.840898,24.0337847" TargetMode="External" Id="rId57" /><Relationship Type="http://schemas.openxmlformats.org/officeDocument/2006/relationships/hyperlink" Target="https://instagram.com/tea_room_lviv?igshid=1jmkx12q4fs5w" TargetMode="External" Id="rId58" /><Relationship Type="http://schemas.openxmlformats.org/officeDocument/2006/relationships/hyperlink" Target="https://www.google.com/maps?q=49.8450832,24.0319141" TargetMode="External" Id="rId59" /><Relationship Type="http://schemas.openxmlformats.org/officeDocument/2006/relationships/hyperlink" Target="https://instagram.com/thewaveproject.ua?utm_medium=copy_link" TargetMode="External" Id="rId60" /><Relationship Type="http://schemas.openxmlformats.org/officeDocument/2006/relationships/hyperlink" Target="https://www.google.com/maps?q=49.8442047,24.0243384" TargetMode="External" Id="rId61" /><Relationship Type="http://schemas.openxmlformats.org/officeDocument/2006/relationships/hyperlink" Target="tel:+380970348280" TargetMode="External" Id="rId62" /><Relationship Type="http://schemas.openxmlformats.org/officeDocument/2006/relationships/hyperlink" Target="https://totem-cafe-cafe.business.site/" TargetMode="External" Id="rId63" /><Relationship Type="http://schemas.openxmlformats.org/officeDocument/2006/relationships/hyperlink" Target="https://www.google.com/maps?q=49.8395583,24.0006193" TargetMode="External" Id="rId64" /><Relationship Type="http://schemas.openxmlformats.org/officeDocument/2006/relationships/hyperlink" Target="https://sezony.com.ua/" TargetMode="External" Id="rId65" /><Relationship Type="http://schemas.openxmlformats.org/officeDocument/2006/relationships/hyperlink" Target="https://www.google.com/maps?q=49.8369249,24.0029577" TargetMode="External" Id="rId66" /><Relationship Type="http://schemas.openxmlformats.org/officeDocument/2006/relationships/hyperlink" Target="tel:+380683023042" TargetMode="External" Id="rId67" /><Relationship Type="http://schemas.openxmlformats.org/officeDocument/2006/relationships/hyperlink" Target="https://expz.menu/a66dff7e-d106-4c62-970a-4ce7fe12d1ec" TargetMode="External" Id="rId68" /><Relationship Type="http://schemas.openxmlformats.org/officeDocument/2006/relationships/hyperlink" Target="https://www.google.com/maps?q=49.8394965,24.0336309" TargetMode="External" Id="rId69" /><Relationship Type="http://schemas.openxmlformats.org/officeDocument/2006/relationships/hyperlink" Target="tel:+380685265616" TargetMode="External" Id="rId70" /><Relationship Type="http://schemas.openxmlformats.org/officeDocument/2006/relationships/hyperlink" Target="https://instagram.com/tsikava.foodandcoffee" TargetMode="External" Id="rId71" /><Relationship Type="http://schemas.openxmlformats.org/officeDocument/2006/relationships/hyperlink" Target="https://tsikava.com/" TargetMode="External" Id="rId72" /><Relationship Type="http://schemas.openxmlformats.org/officeDocument/2006/relationships/hyperlink" Target="https://www.google.com/maps?q=49.8587441,24.0413565" TargetMode="External" Id="rId73" /><Relationship Type="http://schemas.openxmlformats.org/officeDocument/2006/relationships/hyperlink" Target="https://instagram.com/alterkava" TargetMode="External" Id="rId74" /><Relationship Type="http://schemas.openxmlformats.org/officeDocument/2006/relationships/hyperlink" Target="https://altkava.com.ua/" TargetMode="External" Id="rId75" /><Relationship Type="http://schemas.openxmlformats.org/officeDocument/2006/relationships/hyperlink" Target="https://www.google.com/maps?q=49.8350896,24.0391309" TargetMode="External" Id="rId76" /><Relationship Type="http://schemas.openxmlformats.org/officeDocument/2006/relationships/hyperlink" Target="tel:+380638484891" TargetMode="External" Id="rId77" /><Relationship Type="http://schemas.openxmlformats.org/officeDocument/2006/relationships/hyperlink" Target="https://comein.lviv.ua/" TargetMode="External" Id="rId78" /><Relationship Type="http://schemas.openxmlformats.org/officeDocument/2006/relationships/hyperlink" Target="https://www.google.com/maps?q=49.8381864,24.0224399" TargetMode="External" Id="rId79" /><Relationship Type="http://schemas.openxmlformats.org/officeDocument/2006/relationships/hyperlink" Target="tel:+380970649676" TargetMode="External" Id="rId80" /><Relationship Type="http://schemas.openxmlformats.org/officeDocument/2006/relationships/hyperlink" Target="https://www.bilakava.com/" TargetMode="External" Id="rId81" /><Relationship Type="http://schemas.openxmlformats.org/officeDocument/2006/relationships/hyperlink" Target="https://www.google.com/maps?q=49.842612,24.0255263" TargetMode="External" Id="rId82" /><Relationship Type="http://schemas.openxmlformats.org/officeDocument/2006/relationships/hyperlink" Target="tel:+380503786038" TargetMode="External" Id="rId83" /><Relationship Type="http://schemas.openxmlformats.org/officeDocument/2006/relationships/hyperlink" Target="http://www.fest.lviv.ua/uk/restaurants/diananarynku" TargetMode="External" Id="rId84" /><Relationship Type="http://schemas.openxmlformats.org/officeDocument/2006/relationships/hyperlink" Target="https://www.google.com/maps?q=49.8417465,24.0325346" TargetMode="External" Id="rId85" /><Relationship Type="http://schemas.openxmlformats.org/officeDocument/2006/relationships/hyperlink" Target="http://vyshyvanka.lviv.ua/" TargetMode="External" Id="rId86" /><Relationship Type="http://schemas.openxmlformats.org/officeDocument/2006/relationships/hyperlink" Target="https://www.google.com/maps?q=49.8282066,23.9928329" TargetMode="External" Id="rId87" /><Relationship Type="http://schemas.openxmlformats.org/officeDocument/2006/relationships/hyperlink" Target="tel:+380631747575" TargetMode="External" Id="rId88" /><Relationship Type="http://schemas.openxmlformats.org/officeDocument/2006/relationships/hyperlink" Target="https://wokpizza.lviv.ua/" TargetMode="External" Id="rId89" /><Relationship Type="http://schemas.openxmlformats.org/officeDocument/2006/relationships/hyperlink" Target="https://www.google.com/maps?q=49.8111764,23.9950553" TargetMode="External" Id="rId90" /><Relationship Type="http://schemas.openxmlformats.org/officeDocument/2006/relationships/hyperlink" Target="tel:+380672781608" TargetMode="External" Id="rId91" /><Relationship Type="http://schemas.openxmlformats.org/officeDocument/2006/relationships/hyperlink" Target="http://www.virmenka.akurat.com.ua/" TargetMode="External" Id="rId92" /><Relationship Type="http://schemas.openxmlformats.org/officeDocument/2006/relationships/hyperlink" Target="https://www.google.com/maps?q=49.8432904,24.0318681" TargetMode="External" Id="rId93" /><Relationship Type="http://schemas.openxmlformats.org/officeDocument/2006/relationships/hyperlink" Target="tel:+380968573085" TargetMode="External" Id="rId94" /><Relationship Type="http://schemas.openxmlformats.org/officeDocument/2006/relationships/hyperlink" Target="https://ensalada.com.ua/" TargetMode="External" Id="rId95" /><Relationship Type="http://schemas.openxmlformats.org/officeDocument/2006/relationships/hyperlink" Target="https://www.google.com/maps?q=49.8120366,24.0402703" TargetMode="External" Id="rId96" /><Relationship Type="http://schemas.openxmlformats.org/officeDocument/2006/relationships/hyperlink" Target="tel:0933818703" TargetMode="External" Id="rId97" /><Relationship Type="http://schemas.openxmlformats.org/officeDocument/2006/relationships/hyperlink" Target="https://zashkvarka.choiceqr.com/menu" TargetMode="External" Id="rId98" /><Relationship Type="http://schemas.openxmlformats.org/officeDocument/2006/relationships/hyperlink" Target="https://www.google.com/maps?q=49.8380728,24.0353241" TargetMode="External" Id="rId99" /><Relationship Type="http://schemas.openxmlformats.org/officeDocument/2006/relationships/hyperlink" Target="https://lioncastlehotel.com/restoran/" TargetMode="External" Id="rId100" /><Relationship Type="http://schemas.openxmlformats.org/officeDocument/2006/relationships/hyperlink" Target="https://www.google.com/maps?q=49.8287276,24.0196106" TargetMode="External" Id="rId101" /><Relationship Type="http://schemas.openxmlformats.org/officeDocument/2006/relationships/hyperlink" Target="tel:+380678044780" TargetMode="External" Id="rId102" /><Relationship Type="http://schemas.openxmlformats.org/officeDocument/2006/relationships/hyperlink" Target="https://catcafe.com.ua/" TargetMode="External" Id="rId103" /><Relationship Type="http://schemas.openxmlformats.org/officeDocument/2006/relationships/hyperlink" Target="https://www.google.com/maps?q=49.8416862,24.023159" TargetMode="External" Id="rId104" /><Relationship Type="http://schemas.openxmlformats.org/officeDocument/2006/relationships/hyperlink" Target="tel:+380934340724" TargetMode="External" Id="rId105" /><Relationship Type="http://schemas.openxmlformats.org/officeDocument/2006/relationships/hyperlink" Target="https://www.facebook.com/klepsydra2017/" TargetMode="External" Id="rId106" /><Relationship Type="http://schemas.openxmlformats.org/officeDocument/2006/relationships/hyperlink" Target="https://www.google.com/maps?q=49.8943,24.0918184" TargetMode="External" Id="rId107" /><Relationship Type="http://schemas.openxmlformats.org/officeDocument/2006/relationships/hyperlink" Target="tel:+380977964046" TargetMode="External" Id="rId108" /><Relationship Type="http://schemas.openxmlformats.org/officeDocument/2006/relationships/hyperlink" Target="https://biscotti.com.ua/" TargetMode="External" Id="rId109" /><Relationship Type="http://schemas.openxmlformats.org/officeDocument/2006/relationships/hyperlink" Target="https://www.google.com/maps?q=49.8402572,24.0197772" TargetMode="External" Id="rId110" /><Relationship Type="http://schemas.openxmlformats.org/officeDocument/2006/relationships/hyperlink" Target="tel:+380676623353" TargetMode="External" Id="rId111" /><Relationship Type="http://schemas.openxmlformats.org/officeDocument/2006/relationships/hyperlink" Target="http://kotugoroshko.lviv.ua" TargetMode="External" Id="rId112" /><Relationship Type="http://schemas.openxmlformats.org/officeDocument/2006/relationships/hyperlink" Target="https://www.google.com/maps?q=49.8128269,23.9976968" TargetMode="External" Id="rId113" /><Relationship Type="http://schemas.openxmlformats.org/officeDocument/2006/relationships/hyperlink" Target="tel:+380967504453" TargetMode="External" Id="rId114" /><Relationship Type="http://schemas.openxmlformats.org/officeDocument/2006/relationships/hyperlink" Target="https://kredens.com.ua/locations/vul-striiska-202-ducks-lake" TargetMode="External" Id="rId115" /><Relationship Type="http://schemas.openxmlformats.org/officeDocument/2006/relationships/hyperlink" Target="https://www.google.com/maps?q=49.7995294,24.0160774" TargetMode="External" Id="rId116" /><Relationship Type="http://schemas.openxmlformats.org/officeDocument/2006/relationships/hyperlink" Target="tel:+380508756878" TargetMode="External" Id="rId117" /><Relationship Type="http://schemas.openxmlformats.org/officeDocument/2006/relationships/hyperlink" Target="https://lovely-coffee-coffee-shop.business.site/" TargetMode="External" Id="rId118" /><Relationship Type="http://schemas.openxmlformats.org/officeDocument/2006/relationships/hyperlink" Target="https://www.google.com/maps?q=49.8042429,24.0193752" TargetMode="External" Id="rId119" /><Relationship Type="http://schemas.openxmlformats.org/officeDocument/2006/relationships/hyperlink" Target="tel:+380504306033" TargetMode="External" Id="rId120" /><Relationship Type="http://schemas.openxmlformats.org/officeDocument/2006/relationships/hyperlink" Target="https://www.chocolate.lviv.ua/" TargetMode="External" Id="rId121" /><Relationship Type="http://schemas.openxmlformats.org/officeDocument/2006/relationships/hyperlink" Target="https://www.google.com/maps?q=49.8412092,24.0330752" TargetMode="External" Id="rId122" /><Relationship Type="http://schemas.openxmlformats.org/officeDocument/2006/relationships/hyperlink" Target="tel:+380676706106" TargetMode="External" Id="rId123" /><Relationship Type="http://schemas.openxmlformats.org/officeDocument/2006/relationships/hyperlink" Target="http://www.fest.lviv.ua/uk/restaurants/coffeemanufacture" TargetMode="External" Id="rId124" /><Relationship Type="http://schemas.openxmlformats.org/officeDocument/2006/relationships/hyperlink" Target="https://www.google.com/maps?q=49.8417132,24.0328273" TargetMode="External" Id="rId125" /><Relationship Type="http://schemas.openxmlformats.org/officeDocument/2006/relationships/hyperlink" Target="tel:+380503782362" TargetMode="External" Id="rId126" /><Relationship Type="http://schemas.openxmlformats.org/officeDocument/2006/relationships/hyperlink" Target="https://www.chocolate.lviv.ua" TargetMode="External" Id="rId127" /><Relationship Type="http://schemas.openxmlformats.org/officeDocument/2006/relationships/hyperlink" Target="https://www.google.com/maps?q=49.8408952,24.0252319" TargetMode="External" Id="rId128" /><Relationship Type="http://schemas.openxmlformats.org/officeDocument/2006/relationships/hyperlink" Target="https://manufacture.coffee/" TargetMode="External" Id="rId129" /><Relationship Type="http://schemas.openxmlformats.org/officeDocument/2006/relationships/hyperlink" Target="https://www.google.com/maps?q=49.8394754,24.0334558" TargetMode="External" Id="rId130" /><Relationship Type="http://schemas.openxmlformats.org/officeDocument/2006/relationships/hyperlink" Target="tel:+380931846933" TargetMode="External" Id="rId131" /><Relationship Type="http://schemas.openxmlformats.org/officeDocument/2006/relationships/hyperlink" Target="https://stravopys.com/lvvsk-konopl-hemp-heaven" TargetMode="External" Id="rId132" /><Relationship Type="http://schemas.openxmlformats.org/officeDocument/2006/relationships/hyperlink" Target="https://www.google.com/maps?q=49.843727,24.0312195" TargetMode="External" Id="rId133" /><Relationship Type="http://schemas.openxmlformats.org/officeDocument/2006/relationships/hyperlink" Target="tel:+380975047574" TargetMode="External" Id="rId134" /><Relationship Type="http://schemas.openxmlformats.org/officeDocument/2006/relationships/hyperlink" Target="https://www.lvivpancakes.com" TargetMode="External" Id="rId135" /><Relationship Type="http://schemas.openxmlformats.org/officeDocument/2006/relationships/hyperlink" Target="https://www.google.com/maps?q=49.8406727,24.0338429" TargetMode="External" Id="rId136" /><Relationship Type="http://schemas.openxmlformats.org/officeDocument/2006/relationships/hyperlink" Target="https://lvivcroissants.com/" TargetMode="External" Id="rId137" /><Relationship Type="http://schemas.openxmlformats.org/officeDocument/2006/relationships/hyperlink" Target="https://www.google.com/maps?q=49.8672415,24.0003703" TargetMode="External" Id="rId138" /><Relationship Type="http://schemas.openxmlformats.org/officeDocument/2006/relationships/hyperlink" Target="tel:+380503713833" TargetMode="External" Id="rId139" /><Relationship Type="http://schemas.openxmlformats.org/officeDocument/2006/relationships/hyperlink" Target="http://www.fest.lviv.ua/uk/restaurants/lvivskipljacky/" TargetMode="External" Id="rId140" /><Relationship Type="http://schemas.openxmlformats.org/officeDocument/2006/relationships/hyperlink" Target="https://www.google.com/maps?q=49.8414668,24.032314" TargetMode="External" Id="rId141" /><Relationship Type="http://schemas.openxmlformats.org/officeDocument/2006/relationships/hyperlink" Target="tel:+380504305385" TargetMode="External" Id="rId142" /><Relationship Type="http://schemas.openxmlformats.org/officeDocument/2006/relationships/hyperlink" Target="http://www.fest.lviv.ua/uk/restaurants/livyjbereh" TargetMode="External" Id="rId143" /><Relationship Type="http://schemas.openxmlformats.org/officeDocument/2006/relationships/hyperlink" Target="https://www.google.com/maps?q=49.8439466,24.0265666" TargetMode="External" Id="rId144" /><Relationship Type="http://schemas.openxmlformats.org/officeDocument/2006/relationships/hyperlink" Target="tel:+380504173340" TargetMode="External" Id="rId145" /><Relationship Type="http://schemas.openxmlformats.org/officeDocument/2006/relationships/hyperlink" Target="http://liguminka.cafe" TargetMode="External" Id="rId146" /><Relationship Type="http://schemas.openxmlformats.org/officeDocument/2006/relationships/hyperlink" Target="https://www.google.com/maps?q=49.8171746,24.0024792" TargetMode="External" Id="rId147" /><Relationship Type="http://schemas.openxmlformats.org/officeDocument/2006/relationships/hyperlink" Target="tel:+380679926767" TargetMode="External" Id="rId148" /><Relationship Type="http://schemas.openxmlformats.org/officeDocument/2006/relationships/hyperlink" Target="https://mistechko.cafe/" TargetMode="External" Id="rId149" /><Relationship Type="http://schemas.openxmlformats.org/officeDocument/2006/relationships/hyperlink" Target="https://www.google.com/maps?q=49.8298456,24.0303533" TargetMode="External" Id="rId150" /><Relationship Type="http://schemas.openxmlformats.org/officeDocument/2006/relationships/hyperlink" Target="tel:+380503710440" TargetMode="External" Id="rId151" /><Relationship Type="http://schemas.openxmlformats.org/officeDocument/2006/relationships/hyperlink" Target="http://www.fest.lviv.ua/uk/restaurants/masochcafe" TargetMode="External" Id="rId152" /><Relationship Type="http://schemas.openxmlformats.org/officeDocument/2006/relationships/hyperlink" Target="https://www.google.com/maps?q=49.8410677,24.033147" TargetMode="External" Id="rId153" /><Relationship Type="http://schemas.openxmlformats.org/officeDocument/2006/relationships/hyperlink" Target="tel:+380676749937" TargetMode="External" Id="rId154" /><Relationship Type="http://schemas.openxmlformats.org/officeDocument/2006/relationships/hyperlink" Target="http://yurashky.com" TargetMode="External" Id="rId155" /><Relationship Type="http://schemas.openxmlformats.org/officeDocument/2006/relationships/hyperlink" Target="https://www.google.com/maps?q=49.8431381,24.0300998" TargetMode="External" Id="rId156" /><Relationship Type="http://schemas.openxmlformats.org/officeDocument/2006/relationships/hyperlink" Target="https://www.instagram.com/plates_cups" TargetMode="External" Id="rId157" /><Relationship Type="http://schemas.openxmlformats.org/officeDocument/2006/relationships/hyperlink" Target="https://www.google.com/maps?q=49.8407915,24.0339198" TargetMode="External" Id="rId158" /><Relationship Type="http://schemas.openxmlformats.org/officeDocument/2006/relationships/hyperlink" Target="http://www.puzatahata.com.ua/" TargetMode="External" Id="rId159" /><Relationship Type="http://schemas.openxmlformats.org/officeDocument/2006/relationships/hyperlink" Target="https://www.google.com/maps?q=49.8233351,23.916872" TargetMode="External" Id="rId160" /><Relationship Type="http://schemas.openxmlformats.org/officeDocument/2006/relationships/hyperlink" Target="tel:+380322949152" TargetMode="External" Id="rId161" /><Relationship Type="http://schemas.openxmlformats.org/officeDocument/2006/relationships/hyperlink" Target="http://bluebottle.lviv.ua/" TargetMode="External" Id="rId162" /><Relationship Type="http://schemas.openxmlformats.org/officeDocument/2006/relationships/hyperlink" Target="https://www.google.com/maps?q=49.8414731,24.0331176" TargetMode="External" Id="rId163" /><Relationship Type="http://schemas.openxmlformats.org/officeDocument/2006/relationships/hyperlink" Target="tel:+380639869570" TargetMode="External" Id="rId164" /><Relationship Type="http://schemas.openxmlformats.org/officeDocument/2006/relationships/hyperlink" Target="https://salalat.choiceqr.com/" TargetMode="External" Id="rId165" /><Relationship Type="http://schemas.openxmlformats.org/officeDocument/2006/relationships/hyperlink" Target="https://www.google.com/maps?q=49.8395287,24.0338025" TargetMode="External" Id="rId166" /><Relationship Type="http://schemas.openxmlformats.org/officeDocument/2006/relationships/hyperlink" Target="https://svitkavy.com/" TargetMode="External" Id="rId167" /><Relationship Type="http://schemas.openxmlformats.org/officeDocument/2006/relationships/hyperlink" Target="https://www.google.com/maps?q=49.8405347,24.0306867" TargetMode="External" Id="rId168" /><Relationship Type="http://schemas.openxmlformats.org/officeDocument/2006/relationships/hyperlink" Target="http://@teddy.restaurant" TargetMode="External" Id="rId169" /><Relationship Type="http://schemas.openxmlformats.org/officeDocument/2006/relationships/hyperlink" Target="https://www.google.com/maps?q=49.836766,24.027885" TargetMode="External" Id="rId170" /><Relationship Type="http://schemas.openxmlformats.org/officeDocument/2006/relationships/hyperlink" Target="tel:+380987321414" TargetMode="External" Id="rId171" /><Relationship Type="http://schemas.openxmlformats.org/officeDocument/2006/relationships/hyperlink" Target="https://www.facebook.com/teplyipyets.lviv" TargetMode="External" Id="rId172" /><Relationship Type="http://schemas.openxmlformats.org/officeDocument/2006/relationships/hyperlink" Target="https://www.google.com/maps?q=49.84108,24.0345466" TargetMode="External" Id="rId173" /><Relationship Type="http://schemas.openxmlformats.org/officeDocument/2006/relationships/hyperlink" Target="tel:+380502393400" TargetMode="External" Id="rId174" /><Relationship Type="http://schemas.openxmlformats.org/officeDocument/2006/relationships/hyperlink" Target="https://cafetiramisu.com.ua/" TargetMode="External" Id="rId175" /><Relationship Type="http://schemas.openxmlformats.org/officeDocument/2006/relationships/hyperlink" Target="https://www.google.com/maps?q=49.8381297,24.036473" TargetMode="External" Id="rId176" /><Relationship Type="http://schemas.openxmlformats.org/officeDocument/2006/relationships/hyperlink" Target="https://linktr.ee/tovarystvo" TargetMode="External" Id="rId177" /><Relationship Type="http://schemas.openxmlformats.org/officeDocument/2006/relationships/hyperlink" Target="https://www.google.com/maps?q=49.838041,24.0382914" TargetMode="External" Id="rId178" /><Relationship Type="http://schemas.openxmlformats.org/officeDocument/2006/relationships/hyperlink" Target="tel:+380963471918" TargetMode="External" Id="rId179" /><Relationship Type="http://schemas.openxmlformats.org/officeDocument/2006/relationships/hyperlink" Target="https://tretyemistselviv.choiceqr.com" TargetMode="External" Id="rId180" /><Relationship Type="http://schemas.openxmlformats.org/officeDocument/2006/relationships/hyperlink" Target="https://www.google.com/maps?q=49.8299768,24.0181097" TargetMode="External" Id="rId181" /><Relationship Type="http://schemas.openxmlformats.org/officeDocument/2006/relationships/hyperlink" Target="tel:+380679490548" TargetMode="External" Id="rId182" /><Relationship Type="http://schemas.openxmlformats.org/officeDocument/2006/relationships/hyperlink" Target="https://www.facebook.com/facet.lviv" TargetMode="External" Id="rId183" /><Relationship Type="http://schemas.openxmlformats.org/officeDocument/2006/relationships/hyperlink" Target="https://www.google.com/maps?q=49.8431666,24.03244" TargetMode="External" Id="rId184" /><Relationship Type="http://schemas.openxmlformats.org/officeDocument/2006/relationships/hyperlink" Target="tel:+380673374040" TargetMode="External" Id="rId185" /><Relationship Type="http://schemas.openxmlformats.org/officeDocument/2006/relationships/hyperlink" Target="http://xbar.com.ua" TargetMode="External" Id="rId186" /><Relationship Type="http://schemas.openxmlformats.org/officeDocument/2006/relationships/hyperlink" Target="https://www.google.com/maps?q=49.8437318,24.0248543" TargetMode="External" Id="rId187" /><Relationship Type="http://schemas.openxmlformats.org/officeDocument/2006/relationships/hyperlink" Target="tel:+380322356949" TargetMode="External" Id="rId188" /><Relationship Type="http://schemas.openxmlformats.org/officeDocument/2006/relationships/hyperlink" Target="https://www.facebook.com/pg/cukiernia.lviv" TargetMode="External" Id="rId189" /><Relationship Type="http://schemas.openxmlformats.org/officeDocument/2006/relationships/hyperlink" Target="https://www.google.com/maps?q=49.8404263,24.0310179" TargetMode="External" Id="rId190" /><Relationship Type="http://schemas.openxmlformats.org/officeDocument/2006/relationships/hyperlink" Target="https://tsikava.com.ua/" TargetMode="External" Id="rId191" /><Relationship Type="http://schemas.openxmlformats.org/officeDocument/2006/relationships/hyperlink" Target="https://www.google.com/maps?q=49.8294819,24.0329111" TargetMode="External" Id="rId192" /><Relationship Type="http://schemas.openxmlformats.org/officeDocument/2006/relationships/hyperlink" Target="tel:+380322358163" TargetMode="External" Id="rId193" /><Relationship Type="http://schemas.openxmlformats.org/officeDocument/2006/relationships/hyperlink" Target="http://champagneria.lviv.ua/" TargetMode="External" Id="rId194" /><Relationship Type="http://schemas.openxmlformats.org/officeDocument/2006/relationships/hyperlink" Target="https://www.google.com/maps?q=49.8438277,24.0317393" TargetMode="External" Id="rId195" /><Relationship Type="http://schemas.openxmlformats.org/officeDocument/2006/relationships/hyperlink" Target="tel:+380322614765" TargetMode="External" Id="rId196" /><Relationship Type="http://schemas.openxmlformats.org/officeDocument/2006/relationships/hyperlink" Target="https://szkocka.com.ua/" TargetMode="External" Id="rId197" /><Relationship Type="http://schemas.openxmlformats.org/officeDocument/2006/relationships/hyperlink" Target="https://www.google.com/maps?q=49.8358409,24.0327054" TargetMode="External" Id="rId198" /><Relationship Type="http://schemas.openxmlformats.org/officeDocument/2006/relationships/hyperlink" Target="tel:+380980805004" TargetMode="External" Id="rId199" /><Relationship Type="http://schemas.openxmlformats.org/officeDocument/2006/relationships/hyperlink" Target="https://pizza-leonardo.com.ua/" TargetMode="External" Id="rId200" /><Relationship Type="http://schemas.openxmlformats.org/officeDocument/2006/relationships/hyperlink" Target="https://www.google.com/maps?q=49.8069279,24.0180339" TargetMode="External" Id="rId201" /><Relationship Type="http://schemas.openxmlformats.org/officeDocument/2006/relationships/hyperlink" Target="tel:+380672710727" TargetMode="External" Id="rId202" /><Relationship Type="http://schemas.openxmlformats.org/officeDocument/2006/relationships/hyperlink" Target="https://instagram.com/instagram.com/2cups_lviv" TargetMode="External" Id="rId203" /><Relationship Type="http://schemas.openxmlformats.org/officeDocument/2006/relationships/hyperlink" Target="https://www.google.com/maps?q=49.8314793,24.0422771" TargetMode="External" Id="rId204" /><Relationship Type="http://schemas.openxmlformats.org/officeDocument/2006/relationships/hyperlink" Target="tel:+380673631716" TargetMode="External" Id="rId205" /><Relationship Type="http://schemas.openxmlformats.org/officeDocument/2006/relationships/hyperlink" Target="https://instagram.com/breadpich" TargetMode="External" Id="rId206" /><Relationship Type="http://schemas.openxmlformats.org/officeDocument/2006/relationships/hyperlink" Target="https://www.google.com/maps?q=49.8115996,24.0358974" TargetMode="External" Id="rId207" /><Relationship Type="http://schemas.openxmlformats.org/officeDocument/2006/relationships/hyperlink" Target="https://instagram.com/codecoffe.lviv" TargetMode="External" Id="rId208" /><Relationship Type="http://schemas.openxmlformats.org/officeDocument/2006/relationships/hyperlink" Target="https://www.google.com/maps?q=49.8384249,24.0324166" TargetMode="External" Id="rId209" /><Relationship Type="http://schemas.openxmlformats.org/officeDocument/2006/relationships/hyperlink" Target="tel:+380681456388" TargetMode="External" Id="rId210" /><Relationship Type="http://schemas.openxmlformats.org/officeDocument/2006/relationships/hyperlink" Target="https://instagram.com/folksandbeans" TargetMode="External" Id="rId211" /><Relationship Type="http://schemas.openxmlformats.org/officeDocument/2006/relationships/hyperlink" Target="https://www.google.com/maps?q=49.8380394,24.0370593" TargetMode="External" Id="rId212" /><Relationship Type="http://schemas.openxmlformats.org/officeDocument/2006/relationships/hyperlink" Target="tel:+380739777808" TargetMode="External" Id="rId213" /><Relationship Type="http://schemas.openxmlformats.org/officeDocument/2006/relationships/hyperlink" Target="https://instagram.com/florry.lviv" TargetMode="External" Id="rId214" /><Relationship Type="http://schemas.openxmlformats.org/officeDocument/2006/relationships/hyperlink" Target="https://www.google.com/maps?q=49.8228893,23.9912592" TargetMode="External" Id="rId215" /><Relationship Type="http://schemas.openxmlformats.org/officeDocument/2006/relationships/hyperlink" Target="https://instagram.com/4youcoffe" TargetMode="External" Id="rId216" /><Relationship Type="http://schemas.openxmlformats.org/officeDocument/2006/relationships/hyperlink" Target="https://www.google.com/maps?q=49.8121353,24.0400641" TargetMode="External" Id="rId217" /><Relationship Type="http://schemas.openxmlformats.org/officeDocument/2006/relationships/hyperlink" Target="https://instagram.com/mitte.coffee" TargetMode="External" Id="rId218" /><Relationship Type="http://schemas.openxmlformats.org/officeDocument/2006/relationships/hyperlink" Target="https://www.google.com/maps?q=49.8187504,24.0034985" TargetMode="External" Id="rId219" /><Relationship Type="http://schemas.openxmlformats.org/officeDocument/2006/relationships/hyperlink" Target="tel:+380996740018" TargetMode="External" Id="rId220" /><Relationship Type="http://schemas.openxmlformats.org/officeDocument/2006/relationships/hyperlink" Target="https://instagram.com/restofriend" TargetMode="External" Id="rId221" /><Relationship Type="http://schemas.openxmlformats.org/officeDocument/2006/relationships/hyperlink" Target="https://www.google.com/maps?q=49.821929,23.9928171" TargetMode="External" Id="rId222" /><Relationship Type="http://schemas.openxmlformats.org/officeDocument/2006/relationships/hyperlink" Target="https://instagram.com/tempo_del_cafe" TargetMode="External" Id="rId223" /><Relationship Type="http://schemas.openxmlformats.org/officeDocument/2006/relationships/hyperlink" Target="https://www.google.com/maps?q=49.8034949,24.0736658" TargetMode="External" Id="rId224" /><Relationship Type="http://schemas.openxmlformats.org/officeDocument/2006/relationships/hyperlink" Target="https://instagram.com/tommy.lviv" TargetMode="External" Id="rId225" /><Relationship Type="http://schemas.openxmlformats.org/officeDocument/2006/relationships/hyperlink" Target="https://www.google.com/maps?q=49.8050163,23.9822027" TargetMode="External" Id="rId226" /><Relationship Type="http://schemas.openxmlformats.org/officeDocument/2006/relationships/hyperlink" Target="https://instagram.com/vintage_cafe_lviv" TargetMode="External" Id="rId227" /><Relationship Type="http://schemas.openxmlformats.org/officeDocument/2006/relationships/hyperlink" Target="https://www.google.com/maps?q=49.8409119,24.0332284" TargetMode="External" Id="rId228" /><Relationship Type="http://schemas.openxmlformats.org/officeDocument/2006/relationships/hyperlink" Target="https://instagram.com/blurcoffeeshop_lviv" TargetMode="External" Id="rId229" /><Relationship Type="http://schemas.openxmlformats.org/officeDocument/2006/relationships/hyperlink" Target="https://www.google.com/maps?q=49.8434189,24.0240731" TargetMode="External" Id="rId230" /><Relationship Type="http://schemas.openxmlformats.org/officeDocument/2006/relationships/hyperlink" Target="tel:+380638789941" TargetMode="External" Id="rId231" /><Relationship Type="http://schemas.openxmlformats.org/officeDocument/2006/relationships/hyperlink" Target="https://instagram.com/zerno.lviv" TargetMode="External" Id="rId232" /><Relationship Type="http://schemas.openxmlformats.org/officeDocument/2006/relationships/hyperlink" Target="https://www.google.com/maps?q=49.8099809,24.0011543" TargetMode="External" Id="rId233" /><Relationship Type="http://schemas.openxmlformats.org/officeDocument/2006/relationships/hyperlink" Target="tel:+380968001060" TargetMode="External" Id="rId234" /><Relationship Type="http://schemas.openxmlformats.org/officeDocument/2006/relationships/hyperlink" Target="https://instagram.com/oy.sho.lviv" TargetMode="External" Id="rId235" /><Relationship Type="http://schemas.openxmlformats.org/officeDocument/2006/relationships/hyperlink" Target="https://www.google.com/maps?q=49.8423218,24.0254706" TargetMode="External" Id="rId236" /><Relationship Type="http://schemas.openxmlformats.org/officeDocument/2006/relationships/hyperlink" Target="tel:0966233116" TargetMode="External" Id="rId237" /><Relationship Type="http://schemas.openxmlformats.org/officeDocument/2006/relationships/hyperlink" Target="https://instagram.com/redmonkeyramen" TargetMode="External" Id="rId238" /><Relationship Type="http://schemas.openxmlformats.org/officeDocument/2006/relationships/hyperlink" Target="https://www.google.com/maps?q=49.8442572,24.0287829" TargetMode="External" Id="rId239" /><Relationship Type="http://schemas.openxmlformats.org/officeDocument/2006/relationships/hyperlink" Target="https://instagram.com/tochkazoru_lviv" TargetMode="External" Id="rId240" /><Relationship Type="http://schemas.openxmlformats.org/officeDocument/2006/relationships/hyperlink" Target="https://www.google.com/maps?q=49.8441837,24.0294674" TargetMode="External" Id="rId241" /><Relationship Type="http://schemas.openxmlformats.org/officeDocument/2006/relationships/hyperlink" Target="https://www.google.com/maps?q=49.8512971,24.0515339" TargetMode="External" Id="rId242" /><Relationship Type="http://schemas.openxmlformats.org/officeDocument/2006/relationships/hyperlink" Target="https://www.google.com/maps?q=49.8403738,24.0326673" TargetMode="External" Id="rId243" /><Relationship Type="http://schemas.openxmlformats.org/officeDocument/2006/relationships/hyperlink" Target="https://www.google.com/maps?q=49.8329497,24.0252849" TargetMode="External" Id="rId244" /><Relationship Type="http://schemas.openxmlformats.org/officeDocument/2006/relationships/hyperlink" Target="https://www.google.com/maps?q=49.8277888,24.0114401" TargetMode="External" Id="rId245" /><Relationship Type="http://schemas.openxmlformats.org/officeDocument/2006/relationships/hyperlink" Target="https://www.google.com/maps?q=49.7918627,24.0562746" TargetMode="External" Id="rId246" /><Relationship Type="http://schemas.openxmlformats.org/officeDocument/2006/relationships/hyperlink" Target="https://www.google.com/maps?q=49.8593871,24.0192674" TargetMode="External" Id="rId247" /><Relationship Type="http://schemas.openxmlformats.org/officeDocument/2006/relationships/hyperlink" Target="https://www.google.com/maps?q=49.8290555,24.0068232" TargetMode="External" Id="rId248" /><Relationship Type="http://schemas.openxmlformats.org/officeDocument/2006/relationships/hyperlink" Target="https://www.google.com/maps?q=49.8304771,24.0080653" TargetMode="External" Id="rId249" /><Relationship Type="http://schemas.openxmlformats.org/officeDocument/2006/relationships/hyperlink" Target="https://www.google.com/maps?q=49.8365197,23.999586" TargetMode="External" Id="rId250" /><Relationship Type="http://schemas.openxmlformats.org/officeDocument/2006/relationships/hyperlink" Target="https://www.google.com/maps?q=49.8341889,24.0327042" TargetMode="External" Id="rId251" /><Relationship Type="http://schemas.openxmlformats.org/officeDocument/2006/relationships/hyperlink" Target="https://www.google.com/maps?q=49.8394933,24.0318312" TargetMode="External" Id="rId252" /><Relationship Type="http://schemas.openxmlformats.org/officeDocument/2006/relationships/hyperlink" Target="https://www.google.com/maps?q=49.8451881,24.0246883" TargetMode="External" Id="rId253" /><Relationship Type="http://schemas.openxmlformats.org/officeDocument/2006/relationships/hyperlink" Target="https://www.google.com/maps?q=49.8074272,23.9784148" TargetMode="External" Id="rId254" /><Relationship Type="http://schemas.openxmlformats.org/officeDocument/2006/relationships/hyperlink" Target="https://www.google.com/maps?q=49.8438802,24.0308877" TargetMode="External" Id="rId255" /><Relationship Type="http://schemas.openxmlformats.org/officeDocument/2006/relationships/hyperlink" Target="https://www.google.com/maps?q=49.8435008,24.0297055" TargetMode="External" Id="rId256" /><Relationship Type="http://schemas.openxmlformats.org/officeDocument/2006/relationships/hyperlink" Target="https://www.google.com/maps?q=49.8678474,23.9539738" TargetMode="External" Id="rId257" /><Relationship Type="http://schemas.openxmlformats.org/officeDocument/2006/relationships/hyperlink" Target="https://www.google.com/maps?q=49.843452,24.0297311" TargetMode="External" Id="rId258" /><Relationship Type="http://schemas.openxmlformats.org/officeDocument/2006/relationships/hyperlink" Target="https://www.google.com/maps?q=49.8225775,23.9589574" TargetMode="External" Id="rId259" /><Relationship Type="http://schemas.openxmlformats.org/officeDocument/2006/relationships/hyperlink" Target="https://www.google.com/maps?q=49.8425327,24.0315348" TargetMode="External" Id="rId260" /><Relationship Type="http://schemas.openxmlformats.org/officeDocument/2006/relationships/hyperlink" Target="https://www.google.com/maps?q=49.8542531,24.0223663" TargetMode="External" Id="rId261" /><Relationship Type="http://schemas.openxmlformats.org/officeDocument/2006/relationships/hyperlink" Target="https://www.google.com/maps?q=49.8404665,24.0370345" TargetMode="External" Id="rId262" /><Relationship Type="http://schemas.openxmlformats.org/officeDocument/2006/relationships/hyperlink" Target="https://www.google.com/maps?q=49.8401637,24.0292324" TargetMode="External" Id="rId263" /><Relationship Type="http://schemas.openxmlformats.org/officeDocument/2006/relationships/hyperlink" Target="https://www.google.com/maps?q=49.8395726,24.0108421" TargetMode="External" Id="rId264" /><Relationship Type="http://schemas.openxmlformats.org/officeDocument/2006/relationships/hyperlink" Target="https://www.google.com/maps?q=49.8357733,24.0070897" TargetMode="External" Id="rId265" /><Relationship Type="http://schemas.openxmlformats.org/officeDocument/2006/relationships/hyperlink" Target="https://www.google.com/maps?q=49.8312761,24.0096997" TargetMode="External" Id="rId266" /><Relationship Type="http://schemas.openxmlformats.org/officeDocument/2006/relationships/hyperlink" Target="https://www.google.com/maps?q=49.8108112,23.9932934" TargetMode="External" Id="rId267" /><Relationship Type="http://schemas.openxmlformats.org/officeDocument/2006/relationships/hyperlink" Target="https://www.google.com/maps?q=49.8378269,23.9989181" TargetMode="External" Id="rId268" /><Relationship Type="http://schemas.openxmlformats.org/officeDocument/2006/relationships/hyperlink" Target="https://www.google.com/maps?q=49.840921,24.028766" TargetMode="External" Id="rId269" /><Relationship Type="http://schemas.openxmlformats.org/officeDocument/2006/relationships/hyperlink" Target="https://www.google.com/maps?q=49.866388,24.0154897" TargetMode="External" Id="rId270" /><Relationship Type="http://schemas.openxmlformats.org/officeDocument/2006/relationships/hyperlink" Target="https://www.google.com/maps?q=49.8433103,24.0335232" TargetMode="External" Id="rId271" /><Relationship Type="http://schemas.openxmlformats.org/officeDocument/2006/relationships/hyperlink" Target="https://www.google.com/maps?q=49.8554908,24.0261385" TargetMode="External" Id="rId272" /><Relationship Type="http://schemas.openxmlformats.org/officeDocument/2006/relationships/hyperlink" Target="https://www.google.com/maps?q=49.8438471,24.0318896" TargetMode="External" Id="rId273" /><Relationship Type="http://schemas.openxmlformats.org/officeDocument/2006/relationships/hyperlink" Target="https://www.google.com/maps?q=49.840606,24.0349131" TargetMode="External" Id="rId274" /><Relationship Type="http://schemas.openxmlformats.org/officeDocument/2006/relationships/hyperlink" Target="https://www.google.com/maps?q=49.8077215,23.9781345" TargetMode="External" Id="rId275" /><Relationship Type="http://schemas.openxmlformats.org/officeDocument/2006/relationships/hyperlink" Target="https://www.google.com/maps?q=49.8393274,24.0088564" TargetMode="External" Id="rId276" /><Relationship Type="http://schemas.openxmlformats.org/officeDocument/2006/relationships/hyperlink" Target="https://www.google.com/maps?q=49.8427509,24.0311198" TargetMode="External" Id="rId277" /><Relationship Type="http://schemas.openxmlformats.org/officeDocument/2006/relationships/hyperlink" Target="https://www.google.com/maps?q=49.8314989,23.9970906" TargetMode="External" Id="rId278" /><Relationship Type="http://schemas.openxmlformats.org/officeDocument/2006/relationships/hyperlink" Target="https://www.google.com/maps?q=49.8492882,24.0209341" TargetMode="External" Id="rId279" /><Relationship Type="http://schemas.openxmlformats.org/officeDocument/2006/relationships/hyperlink" Target="https://www.google.com/maps?q=49.8403251,24.0340952" TargetMode="External" Id="rId280" /><Relationship Type="http://schemas.openxmlformats.org/officeDocument/2006/relationships/hyperlink" Target="https://www.google.com/maps?q=49.8539925,24.0234186" TargetMode="External" Id="rId281" /><Relationship Type="http://schemas.openxmlformats.org/officeDocument/2006/relationships/hyperlink" Target="https://www.google.com/maps?q=49.832452,24.0408452" TargetMode="External" Id="rId282" /><Relationship Type="http://schemas.openxmlformats.org/officeDocument/2006/relationships/hyperlink" Target="https://www.google.com/maps?q=49.8385783,23.9966999" TargetMode="External" Id="rId283" /><Relationship Type="http://schemas.openxmlformats.org/officeDocument/2006/relationships/hyperlink" Target="https://www.google.com/maps?q=49.8386511,24.030775" TargetMode="External" Id="rId284" /><Relationship Type="http://schemas.openxmlformats.org/officeDocument/2006/relationships/hyperlink" Target="https://www.google.com/maps?q=49.8461682,24.0100396" TargetMode="External" Id="rId285" /><Relationship Type="http://schemas.openxmlformats.org/officeDocument/2006/relationships/hyperlink" Target="https://www.google.com/maps?q=49.8209036,24.0255681" TargetMode="External" Id="rId286" /><Relationship Type="http://schemas.openxmlformats.org/officeDocument/2006/relationships/hyperlink" Target="https://www.google.com/maps?q=49.8561238,24.0247352" TargetMode="External" Id="rId287" /><Relationship Type="http://schemas.openxmlformats.org/officeDocument/2006/relationships/hyperlink" Target="https://www.google.com/maps?q=49.834567,24.0142934" TargetMode="External" Id="rId288" /><Relationship Type="http://schemas.openxmlformats.org/officeDocument/2006/relationships/hyperlink" Target="https://www.google.com/maps?q=49.8408848,24.0256277" TargetMode="External" Id="rId289" /><Relationship Type="http://schemas.openxmlformats.org/officeDocument/2006/relationships/hyperlink" Target="https://www.google.com/maps?q=49.8363811,24.0116666" TargetMode="External" Id="rId290" /><Relationship Type="http://schemas.openxmlformats.org/officeDocument/2006/relationships/hyperlink" Target="https://www.google.com/maps?q=49.8557265,24.0461959" TargetMode="External" Id="rId291" /><Relationship Type="http://schemas.openxmlformats.org/officeDocument/2006/relationships/hyperlink" Target="https://www.google.com/maps?q=49.8329593,24.0188269" TargetMode="External" Id="rId292" /><Relationship Type="http://schemas.openxmlformats.org/officeDocument/2006/relationships/hyperlink" Target="https://www.google.com/maps?q=49.8340009,24.0082899" TargetMode="External" Id="rId293" /><Relationship Type="http://schemas.openxmlformats.org/officeDocument/2006/relationships/hyperlink" Target="https://www.google.com/maps?q=49.8439887,24.0244746" TargetMode="External" Id="rId294" /><Relationship Type="http://schemas.openxmlformats.org/officeDocument/2006/relationships/hyperlink" Target="https://www.google.com/maps?q=49.8394181,24.0356096" TargetMode="External" Id="rId295" /><Relationship Type="http://schemas.openxmlformats.org/officeDocument/2006/relationships/hyperlink" Target="https://www.google.com/maps?q=49.8332985,24.0144114" TargetMode="External" Id="rId296" /><Relationship Type="http://schemas.openxmlformats.org/officeDocument/2006/relationships/hyperlink" Target="https://www.google.com/maps?q=49.8432036,24.0260439" TargetMode="External" Id="rId297" /><Relationship Type="http://schemas.openxmlformats.org/officeDocument/2006/relationships/hyperlink" Target="https://www.google.com/maps?q=49.813485,23.9845662" TargetMode="External" Id="rId298" /><Relationship Type="http://schemas.openxmlformats.org/officeDocument/2006/relationships/hyperlink" Target="https://www.google.com/maps?q=49.8365039,24.0058455" TargetMode="External" Id="rId299" /><Relationship Type="http://schemas.openxmlformats.org/officeDocument/2006/relationships/hyperlink" Target="https://www.google.com/maps?q=49.8446824,24.0240785" TargetMode="External" Id="rId300" /><Relationship Type="http://schemas.openxmlformats.org/officeDocument/2006/relationships/hyperlink" Target="https://www.google.com/maps?q=49.8416433,23.9728267" TargetMode="External" Id="rId301" /><Relationship Type="http://schemas.openxmlformats.org/officeDocument/2006/relationships/hyperlink" Target="https://www.google.com/maps?q=49.8673708,23.9521545" TargetMode="External" Id="rId302" /><Relationship Type="http://schemas.openxmlformats.org/officeDocument/2006/relationships/hyperlink" Target="https://www.google.com/maps?q=49.8372065,24.0116763" TargetMode="External" Id="rId303" /><Relationship Type="http://schemas.openxmlformats.org/officeDocument/2006/relationships/hyperlink" Target="https://www.google.com/maps?q=49.8406977,24.0339638" TargetMode="External" Id="rId304" /><Relationship Type="http://schemas.openxmlformats.org/officeDocument/2006/relationships/hyperlink" Target="https://www.google.com/maps?q=49.8113856,23.9869987" TargetMode="External" Id="rId305" /><Relationship Type="http://schemas.openxmlformats.org/officeDocument/2006/relationships/hyperlink" Target="https://www.google.com/maps?q=49.8370056,24.0333242" TargetMode="External" Id="rId306" /><Relationship Type="http://schemas.openxmlformats.org/officeDocument/2006/relationships/hyperlink" Target="https://www.google.com/maps?q=49.8258006,24.0109141" TargetMode="External" Id="rId307" /><Relationship Type="http://schemas.openxmlformats.org/officeDocument/2006/relationships/hyperlink" Target="https://www.google.com/maps?q=49.8272835,23.9981113" TargetMode="External" Id="rId308" /><Relationship Type="http://schemas.openxmlformats.org/officeDocument/2006/relationships/hyperlink" Target="https://www.google.com/maps?q=49.8273757,24.0284583" TargetMode="External" Id="rId309" /><Relationship Type="http://schemas.openxmlformats.org/officeDocument/2006/relationships/hyperlink" Target="https://www.google.com/maps?q=49.8420556,23.9671955" TargetMode="External" Id="rId310" /><Relationship Type="http://schemas.openxmlformats.org/officeDocument/2006/relationships/hyperlink" Target="https://www.google.com/maps?q=49.8029699,24.0191205" TargetMode="External" Id="rId311" /><Relationship Type="http://schemas.openxmlformats.org/officeDocument/2006/relationships/hyperlink" Target="https://www.google.com/maps?q=49.8384076,24.0237957" TargetMode="External" Id="rId312" /><Relationship Type="http://schemas.openxmlformats.org/officeDocument/2006/relationships/hyperlink" Target="https://www.google.com/maps?q=49.8446343,24.0228963" TargetMode="External" Id="rId313" /><Relationship Type="http://schemas.openxmlformats.org/officeDocument/2006/relationships/hyperlink" Target="tel:+380969962081" TargetMode="External" Id="rId314" /><Relationship Type="http://schemas.openxmlformats.org/officeDocument/2006/relationships/hyperlink" Target="https://www.google.com/maps?q=49.8636907,24.0282386" TargetMode="External" Id="rId315" /><Relationship Type="http://schemas.openxmlformats.org/officeDocument/2006/relationships/hyperlink" Target="https://www.google.com/maps?q=49.8456634,24.0290603" TargetMode="External" Id="rId316" /><Relationship Type="http://schemas.openxmlformats.org/officeDocument/2006/relationships/hyperlink" Target="tel:+380322948715+380673749336" TargetMode="External" Id="rId317" /><Relationship Type="http://schemas.openxmlformats.org/officeDocument/2006/relationships/hyperlink" Target="https://www.google.com/maps?q=49.8404839,24.0331135" TargetMode="External" Id="rId318" /><Relationship Type="http://schemas.openxmlformats.org/officeDocument/2006/relationships/hyperlink" Target="https://www.google.com/maps?q=49.8589642,24.0208598" TargetMode="External" Id="rId319" /><Relationship Type="http://schemas.openxmlformats.org/officeDocument/2006/relationships/hyperlink" Target="https://www.google.com/maps?q=49.7975598,24.0181681" TargetMode="External" Id="rId320" /><Relationship Type="http://schemas.openxmlformats.org/officeDocument/2006/relationships/hyperlink" Target="tel:+380688375751" TargetMode="External" Id="rId321" /><Relationship Type="http://schemas.openxmlformats.org/officeDocument/2006/relationships/hyperlink" Target="https://www.google.com/maps?q=49.8025807,24.0191118" TargetMode="External" Id="rId322" /><Relationship Type="http://schemas.openxmlformats.org/officeDocument/2006/relationships/hyperlink" Target="https://www.google.com/maps?q=49.7951103,24.0579453" TargetMode="External" Id="rId323" /><Relationship Type="http://schemas.openxmlformats.org/officeDocument/2006/relationships/hyperlink" Target="https://www.google.com/maps?q=49.8346223,24.0177978" TargetMode="External" Id="rId324" /><Relationship Type="http://schemas.openxmlformats.org/officeDocument/2006/relationships/hyperlink" Target="https://www.google.com/maps?q=49.8402665,24.0339706" TargetMode="External" Id="rId325" /><Relationship Type="http://schemas.openxmlformats.org/officeDocument/2006/relationships/hyperlink" Target="https://www.google.com/maps?q=49.8293796,24.0221886" TargetMode="External" Id="rId326" /><Relationship Type="http://schemas.openxmlformats.org/officeDocument/2006/relationships/hyperlink" Target="https://www.google.com/maps?q=49.8399459,24.023839" TargetMode="External" Id="rId327" /><Relationship Type="http://schemas.openxmlformats.org/officeDocument/2006/relationships/hyperlink" Target="https://www.google.com/maps?q=49.8597928,24.0194293" TargetMode="External" Id="rId328" /><Relationship Type="http://schemas.openxmlformats.org/officeDocument/2006/relationships/hyperlink" Target="https://www.google.com/maps?q=49.8392623,24.0285815" TargetMode="External" Id="rId329" /><Relationship Type="http://schemas.openxmlformats.org/officeDocument/2006/relationships/hyperlink" Target="https://www.google.com/maps?q=49.8273877,24.0037569" TargetMode="External" Id="rId330" /><Relationship Type="http://schemas.openxmlformats.org/officeDocument/2006/relationships/hyperlink" Target="https://www.google.com/maps?q=49.8396514,24.0233891" TargetMode="External" Id="rId331" /><Relationship Type="http://schemas.openxmlformats.org/officeDocument/2006/relationships/hyperlink" Target="https://www.google.com/maps?q=49.8360137,24.0412646" TargetMode="External" Id="rId332" /><Relationship Type="http://schemas.openxmlformats.org/officeDocument/2006/relationships/hyperlink" Target="https://www.google.com/maps?q=49.8372115,24.0358828" TargetMode="External" Id="rId333" /><Relationship Type="http://schemas.openxmlformats.org/officeDocument/2006/relationships/hyperlink" Target="https://www.google.com/maps?q=49.827502,23.9100265" TargetMode="External" Id="rId334" /><Relationship Type="http://schemas.openxmlformats.org/officeDocument/2006/relationships/hyperlink" Target="https://www.google.com/maps?q=49.8409686,24.025315" TargetMode="External" Id="rId335" /><Relationship Type="http://schemas.openxmlformats.org/officeDocument/2006/relationships/hyperlink" Target="https://www.google.com/maps?q=49.8124844,24.0006365" TargetMode="External" Id="rId336" /><Relationship Type="http://schemas.openxmlformats.org/officeDocument/2006/relationships/hyperlink" Target="https://www.google.com/maps?q=49.8435132,24.0299059" TargetMode="External" Id="rId337" /><Relationship Type="http://schemas.openxmlformats.org/officeDocument/2006/relationships/hyperlink" Target="https://www.google.com/maps?q=49.8279142,24.0336417" TargetMode="External" Id="rId338" /><Relationship Type="http://schemas.openxmlformats.org/officeDocument/2006/relationships/hyperlink" Target="https://www.google.com/maps?q=49.8349144,24.0087778" TargetMode="External" Id="rId339" /><Relationship Type="http://schemas.openxmlformats.org/officeDocument/2006/relationships/hyperlink" Target="https://www.google.com/maps?q=49.8346179,24.0177042" TargetMode="External" Id="rId340" /><Relationship Type="http://schemas.openxmlformats.org/officeDocument/2006/relationships/hyperlink" Target="https://www.google.com/maps?q=49.7950762,24.052352" TargetMode="External" Id="rId341" /><Relationship Type="http://schemas.openxmlformats.org/officeDocument/2006/relationships/hyperlink" Target="https://www.google.com/maps?q=49.8578034,24.0295056" TargetMode="External" Id="rId342" /><Relationship Type="http://schemas.openxmlformats.org/officeDocument/2006/relationships/hyperlink" Target="https://www.google.com/maps?q=49.8344982,24.0332694" TargetMode="External" Id="rId343" /><Relationship Type="http://schemas.openxmlformats.org/officeDocument/2006/relationships/hyperlink" Target="https://www.google.com/maps?q=49.8420806,24.02559" TargetMode="External" Id="rId344" /><Relationship Type="http://schemas.openxmlformats.org/officeDocument/2006/relationships/hyperlink" Target="tel:+380630707010" TargetMode="External" Id="rId345" /><Relationship Type="http://schemas.openxmlformats.org/officeDocument/2006/relationships/hyperlink" Target="https://www.google.com/maps?q=49.8556047,24.0272141" TargetMode="External" Id="rId346" /><Relationship Type="http://schemas.openxmlformats.org/officeDocument/2006/relationships/hyperlink" Target="https://www.google.com/maps?q=49.8360321,24.0346571" TargetMode="External" Id="rId347" /><Relationship Type="http://schemas.openxmlformats.org/officeDocument/2006/relationships/hyperlink" Target="https://www.google.com/maps?q=49.8289886,24.0327781" TargetMode="External" Id="rId348" /><Relationship Type="http://schemas.openxmlformats.org/officeDocument/2006/relationships/hyperlink" Target="https://www.google.com/maps?q=49.8342954,24.0350739" TargetMode="External" Id="rId349" /><Relationship Type="http://schemas.openxmlformats.org/officeDocument/2006/relationships/hyperlink" Target="https://www.google.com/maps?q=49.828982,23.9875773" TargetMode="External" Id="rId350" /><Relationship Type="http://schemas.openxmlformats.org/officeDocument/2006/relationships/hyperlink" Target="https://www.google.com/maps?q=49.8383958,24.0301299" TargetMode="External" Id="rId351" /><Relationship Type="http://schemas.openxmlformats.org/officeDocument/2006/relationships/hyperlink" Target="https://www.google.com/maps?q=49.8279019,24.0101327" TargetMode="External" Id="rId352" /><Relationship Type="http://schemas.openxmlformats.org/officeDocument/2006/relationships/hyperlink" Target="https://www.google.com/maps?q=49.8358252,24.0286374" TargetMode="External" Id="rId353" /><Relationship Type="http://schemas.openxmlformats.org/officeDocument/2006/relationships/hyperlink" Target="https://www.google.com/maps?q=49.8376843,24.0303774" TargetMode="External" Id="rId354" /><Relationship Type="http://schemas.openxmlformats.org/officeDocument/2006/relationships/hyperlink" Target="https://www.google.com/maps?q=49.8288172,23.9921491" TargetMode="External" Id="rId355" /><Relationship Type="http://schemas.openxmlformats.org/officeDocument/2006/relationships/hyperlink" Target="tel:+380669409816" TargetMode="External" Id="rId356" /><Relationship Type="http://schemas.openxmlformats.org/officeDocument/2006/relationships/hyperlink" Target="https://www.google.com/maps?q=49.8381061,24.0387595" TargetMode="External" Id="rId357" /><Relationship Type="http://schemas.openxmlformats.org/officeDocument/2006/relationships/hyperlink" Target="https://www.google.com/maps?q=49.8434371,24.0291521" TargetMode="External" Id="rId358" /><Relationship Type="http://schemas.openxmlformats.org/officeDocument/2006/relationships/hyperlink" Target="https://www.google.com/maps?q=49.8089833,24.0456954" TargetMode="External" Id="rId359" /><Relationship Type="http://schemas.openxmlformats.org/officeDocument/2006/relationships/hyperlink" Target="https://www.google.com/maps?q=49.8349735,24.0103393" TargetMode="External" Id="rId360" /><Relationship Type="http://schemas.openxmlformats.org/officeDocument/2006/relationships/hyperlink" Target="https://www.google.com/maps?q=49.8402917,24.0313613" TargetMode="External" Id="rId361" /><Relationship Type="http://schemas.openxmlformats.org/officeDocument/2006/relationships/hyperlink" Target="https://www.google.com/maps?q=49.8350303,24.0059631" TargetMode="External" Id="rId362" /><Relationship Type="http://schemas.openxmlformats.org/officeDocument/2006/relationships/hyperlink" Target="https://www.google.com/maps?q=49.8130641,23.9606232" TargetMode="External" Id="rId363" /><Relationship Type="http://schemas.openxmlformats.org/officeDocument/2006/relationships/hyperlink" Target="https://www.google.com/maps?q=49.8669997,23.9980944" TargetMode="External" Id="rId364" /><Relationship Type="http://schemas.openxmlformats.org/officeDocument/2006/relationships/hyperlink" Target="https://www.google.com/maps?q=49.8506139,24.0222862" TargetMode="External" Id="rId365" /><Relationship Type="http://schemas.openxmlformats.org/officeDocument/2006/relationships/hyperlink" Target="https://www.google.com/maps?q=49.8382416,24.0313113" TargetMode="External" Id="rId366" /><Relationship Type="http://schemas.openxmlformats.org/officeDocument/2006/relationships/hyperlink" Target="https://www.google.com/maps?q=49.8345647,24.0121181" TargetMode="External" Id="rId367" /><Relationship Type="http://schemas.openxmlformats.org/officeDocument/2006/relationships/hyperlink" Target="https://www.google.com/maps?q=49.8348907,24.0089892" TargetMode="External" Id="rId368" /><Relationship Type="http://schemas.openxmlformats.org/officeDocument/2006/relationships/hyperlink" Target="https://www.google.com/maps?q=49.8401892,24.0324362" TargetMode="External" Id="rId369" /><Relationship Type="http://schemas.openxmlformats.org/officeDocument/2006/relationships/hyperlink" Target="https://www.google.com/maps?q=49.8493126,24.0204286" TargetMode="External" Id="rId370" /><Relationship Type="http://schemas.openxmlformats.org/officeDocument/2006/relationships/hyperlink" Target="https://www.google.com/maps?q=49.857511,24.0205893" TargetMode="External" Id="rId371" /><Relationship Type="http://schemas.openxmlformats.org/officeDocument/2006/relationships/hyperlink" Target="https://www.google.com/maps?q=49.8437193,24.1049484" TargetMode="External" Id="rId372" /><Relationship Type="http://schemas.openxmlformats.org/officeDocument/2006/relationships/hyperlink" Target="https://www.google.com/maps?q=49.8074108,23.977861" TargetMode="External" Id="rId373" /><Relationship Type="http://schemas.openxmlformats.org/officeDocument/2006/relationships/hyperlink" Target="https://www.google.com/maps?q=49.8415345,24.0011184" TargetMode="External" Id="rId374" /><Relationship Type="http://schemas.openxmlformats.org/officeDocument/2006/relationships/hyperlink" Target="https://www.google.com/maps?q=49.809243,23.9783961" TargetMode="External" Id="rId375" /><Relationship Type="http://schemas.openxmlformats.org/officeDocument/2006/relationships/hyperlink" Target="https://www.google.com/maps?q=49.7987631,24.0100249" TargetMode="External" Id="rId376" /><Relationship Type="http://schemas.openxmlformats.org/officeDocument/2006/relationships/hyperlink" Target="https://www.google.com/maps?q=49.8515205,23.9826279" TargetMode="External" Id="rId377" /><Relationship Type="http://schemas.openxmlformats.org/officeDocument/2006/relationships/hyperlink" Target="https://www.google.com/maps?q=49.8234009,24.0088114" TargetMode="External" Id="rId378" /><Relationship Type="http://schemas.openxmlformats.org/officeDocument/2006/relationships/hyperlink" Target="https://www.google.com/maps?q=49.8352398,24.0518645" TargetMode="External" Id="rId379" /><Relationship Type="http://schemas.openxmlformats.org/officeDocument/2006/relationships/hyperlink" Target="https://www.google.com/maps?q=49.837025,24.0219116" TargetMode="External" Id="rId380" /><Relationship Type="http://schemas.openxmlformats.org/officeDocument/2006/relationships/hyperlink" Target="https://www.google.com/maps?q=49.8371572,24.0539898" TargetMode="External" Id="rId381" /><Relationship Type="http://schemas.openxmlformats.org/officeDocument/2006/relationships/hyperlink" Target="https://www.google.com/maps?q=49.7875166,24.0505919" TargetMode="External" Id="rId382" /><Relationship Type="http://schemas.openxmlformats.org/officeDocument/2006/relationships/hyperlink" Target="https://www.google.com/maps?q=49.8661675,24.0297822" TargetMode="External" Id="rId383" /><Relationship Type="http://schemas.openxmlformats.org/officeDocument/2006/relationships/hyperlink" Target="https://www.google.com/maps?q=49.849942,24.0205523" TargetMode="External" Id="rId384" /><Relationship Type="http://schemas.openxmlformats.org/officeDocument/2006/relationships/hyperlink" Target="https://www.google.com/maps?q=49.812587,24.0191495" TargetMode="External" Id="rId385" /><Relationship Type="http://schemas.openxmlformats.org/officeDocument/2006/relationships/hyperlink" Target="https://www.google.com/maps?q=49.7963114,24.0548481" TargetMode="External" Id="rId386" /><Relationship Type="http://schemas.openxmlformats.org/officeDocument/2006/relationships/hyperlink" Target="https://www.google.com/maps?q=49.8126018,23.9862889" TargetMode="External" Id="rId387" /><Relationship Type="http://schemas.openxmlformats.org/officeDocument/2006/relationships/hyperlink" Target="https://www.google.com/maps?q=49.8409116,24.025923" TargetMode="External" Id="rId388" /><Relationship Type="http://schemas.openxmlformats.org/officeDocument/2006/relationships/hyperlink" Target="https://www.google.com/maps?q=49.8162636,24.0623846" TargetMode="External" Id="rId389" /><Relationship Type="http://schemas.openxmlformats.org/officeDocument/2006/relationships/hyperlink" Target="https://www.google.com/maps?q=49.876857,23.936244" TargetMode="External" Id="rId390" /><Relationship Type="http://schemas.openxmlformats.org/officeDocument/2006/relationships/hyperlink" Target="https://www.google.com/maps?q=49.8439363,24.0319077" TargetMode="External" Id="rId391" /><Relationship Type="http://schemas.openxmlformats.org/officeDocument/2006/relationships/hyperlink" Target="https://www.google.com/maps?q=49.8513074,24.0530501" TargetMode="External" Id="rId392" /><Relationship Type="http://schemas.openxmlformats.org/officeDocument/2006/relationships/hyperlink" Target="https://www.google.com/maps?q=49.8425598,24.026238" TargetMode="External" Id="rId393" /><Relationship Type="http://schemas.openxmlformats.org/officeDocument/2006/relationships/hyperlink" Target="https://www.google.com/maps?q=49.7944115,24.0647377" TargetMode="External" Id="rId394" /><Relationship Type="http://schemas.openxmlformats.org/officeDocument/2006/relationships/hyperlink" Target="https://www.google.com/maps?q=49.7986707,24.0202501" TargetMode="External" Id="rId395" /><Relationship Type="http://schemas.openxmlformats.org/officeDocument/2006/relationships/hyperlink" Target="tel:+380991332757" TargetMode="External" Id="rId396" /><Relationship Type="http://schemas.openxmlformats.org/officeDocument/2006/relationships/hyperlink" Target="https://www.google.com/maps?q=49.8555493,24.0346245" TargetMode="External" Id="rId397" /><Relationship Type="http://schemas.openxmlformats.org/officeDocument/2006/relationships/hyperlink" Target="https://www.google.com/maps?q=49.8384791,23.9972707" TargetMode="External" Id="rId398" /><Relationship Type="http://schemas.openxmlformats.org/officeDocument/2006/relationships/hyperlink" Target="https://www.google.com/maps?q=49.8298479,23.9973663" TargetMode="External" Id="rId399" /><Relationship Type="http://schemas.openxmlformats.org/officeDocument/2006/relationships/hyperlink" Target="https://www.google.com/maps?q=49.8445435,24.0186197" TargetMode="External" Id="rId400" /><Relationship Type="http://schemas.openxmlformats.org/officeDocument/2006/relationships/hyperlink" Target="https://www.google.com/maps?q=49.8390688,24.0278038" TargetMode="External" Id="rId401" /><Relationship Type="http://schemas.openxmlformats.org/officeDocument/2006/relationships/hyperlink" Target="https://www.google.com/maps?q=49.8178012,24.0577216" TargetMode="External" Id="rId402" /><Relationship Type="http://schemas.openxmlformats.org/officeDocument/2006/relationships/hyperlink" Target="https://www.google.com/maps?q=49.8521937,24.0112263" TargetMode="External" Id="rId403" /><Relationship Type="http://schemas.openxmlformats.org/officeDocument/2006/relationships/hyperlink" Target="https://www.google.com/maps?q=49.8465925,24.025021" TargetMode="External" Id="rId404" /><Relationship Type="http://schemas.openxmlformats.org/officeDocument/2006/relationships/hyperlink" Target="https://www.google.com/maps?q=49.8405159,24.0314959" TargetMode="External" Id="rId405" /><Relationship Type="http://schemas.openxmlformats.org/officeDocument/2006/relationships/hyperlink" Target="https://www.google.com/maps?q=49.8403154,23.9959258" TargetMode="External" Id="rId406" /><Relationship Type="http://schemas.openxmlformats.org/officeDocument/2006/relationships/hyperlink" Target="https://www.google.com/maps?q=49.8177327,24.0600517" TargetMode="External" Id="rId407" /><Relationship Type="http://schemas.openxmlformats.org/officeDocument/2006/relationships/hyperlink" Target="https://www.google.com/maps?q=49.836421,24.0321387" TargetMode="External" Id="rId408" /><Relationship Type="http://schemas.openxmlformats.org/officeDocument/2006/relationships/hyperlink" Target="https://www.google.com/maps?q=49.8557024,24.0156613" TargetMode="External" Id="rId409" /><Relationship Type="http://schemas.openxmlformats.org/officeDocument/2006/relationships/hyperlink" Target="https://www.google.com/maps?q=49.813122,23.9150427" TargetMode="External" Id="rId410" /><Relationship Type="http://schemas.openxmlformats.org/officeDocument/2006/relationships/hyperlink" Target="tel:+380509785716" TargetMode="External" Id="rId411" /><Relationship Type="http://schemas.openxmlformats.org/officeDocument/2006/relationships/hyperlink" Target="https://www.google.com/maps?q=49.8408241,24.0334616" TargetMode="External" Id="rId412" /><Relationship Type="http://schemas.openxmlformats.org/officeDocument/2006/relationships/hyperlink" Target="https://www.google.com/maps?q=49.8404165,24.0328979" TargetMode="External" Id="rId413" /><Relationship Type="http://schemas.openxmlformats.org/officeDocument/2006/relationships/hyperlink" Target="https://www.google.com/maps?q=49.8334348,24.0334303" TargetMode="External" Id="rId414" /><Relationship Type="http://schemas.openxmlformats.org/officeDocument/2006/relationships/hyperlink" Target="https://www.google.com/maps?q=49.8348105,24.0025339" TargetMode="External" Id="rId415" /><Relationship Type="http://schemas.openxmlformats.org/officeDocument/2006/relationships/hyperlink" Target="https://www.google.com/maps?q=49.8371319,24.0358243" TargetMode="External" Id="rId416" /><Relationship Type="http://schemas.openxmlformats.org/officeDocument/2006/relationships/hyperlink" Target="https://www.google.com/maps?q=49.8514987,24.0261452" TargetMode="External" Id="rId417" /><Relationship Type="http://schemas.openxmlformats.org/officeDocument/2006/relationships/hyperlink" Target="https://www.google.com/maps?q=49.8250192,24.0511066" TargetMode="External" Id="rId418" /><Relationship Type="http://schemas.openxmlformats.org/officeDocument/2006/relationships/hyperlink" Target="https://www.google.com/maps?q=49.8378423,24.0294391" TargetMode="External" Id="rId419" /><Relationship Type="http://schemas.openxmlformats.org/officeDocument/2006/relationships/hyperlink" Target="https://www.google.com/maps?q=49.8359321,23.9985534" TargetMode="External" Id="rId420" /><Relationship Type="http://schemas.openxmlformats.org/officeDocument/2006/relationships/hyperlink" Target="https://www.google.com/maps?q=49.8339659,24.0267342" TargetMode="External" Id="rId421" /><Relationship Type="http://schemas.openxmlformats.org/officeDocument/2006/relationships/hyperlink" Target="https://www.google.com/maps?q=49.8384956,24.0323803" TargetMode="External" Id="rId422" /><Relationship Type="http://schemas.openxmlformats.org/officeDocument/2006/relationships/hyperlink" Target="https://www.google.com/maps?q=49.8377529,24.0321012" TargetMode="External" Id="rId423" /><Relationship Type="http://schemas.openxmlformats.org/officeDocument/2006/relationships/hyperlink" Target="https://www.google.com/maps?q=49.8419114,24.0305444" TargetMode="External" Id="rId424" /><Relationship Type="http://schemas.openxmlformats.org/officeDocument/2006/relationships/hyperlink" Target="https://www.google.com/maps?q=49.846499,24.012908" TargetMode="External" Id="rId425" /><Relationship Type="http://schemas.openxmlformats.org/officeDocument/2006/relationships/hyperlink" Target="https://www.google.com/maps?q=49.8304425,23.9813233" TargetMode="External" Id="rId426" /><Relationship Type="http://schemas.openxmlformats.org/officeDocument/2006/relationships/hyperlink" Target="https://www.google.com/maps?q=49.8430115,23.999106" TargetMode="External" Id="rId427" /><Relationship Type="http://schemas.openxmlformats.org/officeDocument/2006/relationships/hyperlink" Target="https://www.google.com/maps?q=49.8287893,23.9920677" TargetMode="External" Id="rId428" /><Relationship Type="http://schemas.openxmlformats.org/officeDocument/2006/relationships/hyperlink" Target="https://www.google.com/maps?q=49.840995,24.0256564" TargetMode="External" Id="rId429" /><Relationship Type="http://schemas.openxmlformats.org/officeDocument/2006/relationships/hyperlink" Target="https://www.google.com/maps?q=49.8286478,23.9937382" TargetMode="External" Id="rId430" /><Relationship Type="http://schemas.openxmlformats.org/officeDocument/2006/relationships/hyperlink" Target="https://www.google.com/maps?q=49.864921,24.0554484" TargetMode="External" Id="rId431" /><Relationship Type="http://schemas.openxmlformats.org/officeDocument/2006/relationships/hyperlink" Target="https://www.google.com/maps?q=49.8474905,24.0206648" TargetMode="External" Id="rId432" /><Relationship Type="http://schemas.openxmlformats.org/officeDocument/2006/relationships/hyperlink" Target="https://www.google.com/maps?q=49.8345636,24.0121802" TargetMode="External" Id="rId433" /><Relationship Type="http://schemas.openxmlformats.org/officeDocument/2006/relationships/hyperlink" Target="https://www.google.com/maps?q=49.8516451,24.0329434" TargetMode="External" Id="rId434" /><Relationship Type="http://schemas.openxmlformats.org/officeDocument/2006/relationships/hyperlink" Target="tel:+380322615840" TargetMode="External" Id="rId435" /><Relationship Type="http://schemas.openxmlformats.org/officeDocument/2006/relationships/hyperlink" Target="https://www.google.com/maps?q=49.8362578,24.0322649" TargetMode="External" Id="rId436" /><Relationship Type="http://schemas.openxmlformats.org/officeDocument/2006/relationships/hyperlink" Target="https://www.google.com/maps?q=49.840458,23.9946529" TargetMode="External" Id="rId437" /><Relationship Type="http://schemas.openxmlformats.org/officeDocument/2006/relationships/hyperlink" Target="https://www.google.com/maps?q=49.8412288,24.0305586" TargetMode="External" Id="rId438" /><Relationship Type="http://schemas.openxmlformats.org/officeDocument/2006/relationships/hyperlink" Target="https://www.google.com/maps?q=49.8387689,24.0249735" TargetMode="External" Id="rId439" /><Relationship Type="http://schemas.openxmlformats.org/officeDocument/2006/relationships/hyperlink" Target="https://www.google.com/maps?q=49.8434924,24.0230888" TargetMode="External" Id="rId440" /><Relationship Type="http://schemas.openxmlformats.org/officeDocument/2006/relationships/hyperlink" Target="https://www.google.com/maps?q=49.8344879,24.0405862" TargetMode="External" Id="rId441" /><Relationship Type="http://schemas.openxmlformats.org/officeDocument/2006/relationships/hyperlink" Target="https://www.google.com/maps?q=49.8133816,24.036696" TargetMode="External" Id="rId442" /><Relationship Type="http://schemas.openxmlformats.org/officeDocument/2006/relationships/hyperlink" Target="https://www.google.com/maps?q=49.8136279,23.9916422" TargetMode="External" Id="rId443" /><Relationship Type="http://schemas.openxmlformats.org/officeDocument/2006/relationships/hyperlink" Target="https://www.google.com/maps?q=49.8348135,24.034552" TargetMode="External" Id="rId444" /><Relationship Type="http://schemas.openxmlformats.org/officeDocument/2006/relationships/hyperlink" Target="https://www.google.com/maps?q=49.8168775,23.9553029" TargetMode="External" Id="rId445" /><Relationship Type="http://schemas.openxmlformats.org/officeDocument/2006/relationships/hyperlink" Target="https://www.google.com/maps?q=49.8408459,24.0256959" TargetMode="External" Id="rId446" /><Relationship Type="http://schemas.openxmlformats.org/officeDocument/2006/relationships/hyperlink" Target="tel:+380322403494+380638075450" TargetMode="External" Id="rId447" /><Relationship Type="http://schemas.openxmlformats.org/officeDocument/2006/relationships/hyperlink" Target="https://www.google.com/maps?q=49.8354394,24.0190984" TargetMode="External" Id="rId448" /><Relationship Type="http://schemas.openxmlformats.org/officeDocument/2006/relationships/hyperlink" Target="https://www.google.com/maps?q=49.8449704,24.0319474" TargetMode="External" Id="rId449" /><Relationship Type="http://schemas.openxmlformats.org/officeDocument/2006/relationships/hyperlink" Target="https://www.google.com/maps?q=49.8417554,24.0337088" TargetMode="External" Id="rId450" /><Relationship Type="http://schemas.openxmlformats.org/officeDocument/2006/relationships/hyperlink" Target="https://www.google.com/maps?q=49.8522434,24.0325888" TargetMode="External" Id="rId451" /><Relationship Type="http://schemas.openxmlformats.org/officeDocument/2006/relationships/hyperlink" Target="https://www.google.com/maps?q=49.8285579,23.9867459" TargetMode="External" Id="rId452" /><Relationship Type="http://schemas.openxmlformats.org/officeDocument/2006/relationships/hyperlink" Target="https://www.google.com/maps?q=49.8275143,24.0341661" TargetMode="External" Id="rId453" /><Relationship Type="http://schemas.openxmlformats.org/officeDocument/2006/relationships/hyperlink" Target="https://www.google.com/maps?q=49.8416468,24.0331864" TargetMode="External" Id="rId454" /><Relationship Type="http://schemas.openxmlformats.org/officeDocument/2006/relationships/hyperlink" Target="https://www.google.com/maps?q=49.8172462,24.0234779" TargetMode="External" Id="rId455" /><Relationship Type="http://schemas.openxmlformats.org/officeDocument/2006/relationships/hyperlink" Target="https://www.google.com/maps?q=49.8301644,24.0442921" TargetMode="External" Id="rId456" /><Relationship Type="http://schemas.openxmlformats.org/officeDocument/2006/relationships/hyperlink" Target="https://www.google.com/maps?q=49.8420726,24.025806" TargetMode="External" Id="rId457" /><Relationship Type="http://schemas.openxmlformats.org/officeDocument/2006/relationships/hyperlink" Target="https://www.google.com/maps?q=49.8334524,24.0341842" TargetMode="External" Id="rId458" /><Relationship Type="http://schemas.openxmlformats.org/officeDocument/2006/relationships/hyperlink" Target="https://www.google.com/maps?q=49.8078523,24.0188678" TargetMode="External" Id="rId459" /><Relationship Type="http://schemas.openxmlformats.org/officeDocument/2006/relationships/hyperlink" Target="https://www.google.com/maps?q=49.7870663,24.0162386" TargetMode="External" Id="rId460" /><Relationship Type="http://schemas.openxmlformats.org/officeDocument/2006/relationships/hyperlink" Target="https://www.google.com/maps?q=49.840636,24.0311229" TargetMode="External" Id="rId461" /><Relationship Type="http://schemas.openxmlformats.org/officeDocument/2006/relationships/hyperlink" Target="https://www.google.com/maps?q=49.8373027,24.0248386" TargetMode="External" Id="rId462" /><Relationship Type="http://schemas.openxmlformats.org/officeDocument/2006/relationships/hyperlink" Target="https://www.google.com/maps?q=49.8294874,24.0081605" TargetMode="External" Id="rId463" /><Relationship Type="http://schemas.openxmlformats.org/officeDocument/2006/relationships/hyperlink" Target="https://www.google.com/maps?q=49.8320347,24.0171858" TargetMode="External" Id="rId464" /><Relationship Type="http://schemas.openxmlformats.org/officeDocument/2006/relationships/hyperlink" Target="https://www.google.com/maps?q=49.8417793,24.025777" TargetMode="External" Id="rId465" /><Relationship Type="http://schemas.openxmlformats.org/officeDocument/2006/relationships/hyperlink" Target="tel:+380322355083" TargetMode="External" Id="rId466" /><Relationship Type="http://schemas.openxmlformats.org/officeDocument/2006/relationships/hyperlink" Target="https://www.google.com/maps?q=49.8410329,24.0343742" TargetMode="External" Id="rId467" /><Relationship Type="http://schemas.openxmlformats.org/officeDocument/2006/relationships/hyperlink" Target="https://www.google.com/maps?q=49.8421023,24.0369732" TargetMode="External" Id="rId468" /><Relationship Type="http://schemas.openxmlformats.org/officeDocument/2006/relationships/hyperlink" Target="https://www.google.com/maps?q=49.808381,23.9847899" TargetMode="External" Id="rId469" /><Relationship Type="http://schemas.openxmlformats.org/officeDocument/2006/relationships/hyperlink" Target="https://www.google.com/maps?q=49.8364225,23.996939" TargetMode="External" Id="rId470" /><Relationship Type="http://schemas.openxmlformats.org/officeDocument/2006/relationships/hyperlink" Target="https://www.google.com/maps?q=49.8694761,24.0635098" TargetMode="External" Id="rId471" /><Relationship Type="http://schemas.openxmlformats.org/officeDocument/2006/relationships/hyperlink" Target="https://www.google.com/maps?q=49.8063308,24.0062129" TargetMode="External" Id="rId472" /><Relationship Type="http://schemas.openxmlformats.org/officeDocument/2006/relationships/hyperlink" Target="https://www.google.com/maps?q=49.8078295,23.9773938" TargetMode="External" Id="rId473" /><Relationship Type="http://schemas.openxmlformats.org/officeDocument/2006/relationships/hyperlink" Target="https://www.google.com/maps?q=49.8364908,23.9967879" TargetMode="External" Id="rId474" /><Relationship Type="http://schemas.openxmlformats.org/officeDocument/2006/relationships/hyperlink" Target="https://www.google.com/maps?q=49.8486096,24.0221825" TargetMode="External" Id="rId475" /><Relationship Type="http://schemas.openxmlformats.org/officeDocument/2006/relationships/hyperlink" Target="https://www.google.com/maps?q=49.8160632,24.0017058" TargetMode="External" Id="rId476" /><Relationship Type="http://schemas.openxmlformats.org/officeDocument/2006/relationships/hyperlink" Target="https://www.google.com/maps?q=49.8327769,23.9700021" TargetMode="External" Id="rId477" /><Relationship Type="http://schemas.openxmlformats.org/officeDocument/2006/relationships/hyperlink" Target="https://www.google.com/maps?q=49.8073441,24.0000774" TargetMode="External" Id="rId478" /><Relationship Type="http://schemas.openxmlformats.org/officeDocument/2006/relationships/hyperlink" Target="https://www.google.com/maps?q=49.8429226,24.0010728" TargetMode="External" Id="rId479" /><Relationship Type="http://schemas.openxmlformats.org/officeDocument/2006/relationships/hyperlink" Target="https://www.google.com/maps?q=49.8300347,24.0497265" TargetMode="External" Id="rId480" /><Relationship Type="http://schemas.openxmlformats.org/officeDocument/2006/relationships/hyperlink" Target="https://www.google.com/maps?q=49.7898966,24.0595855" TargetMode="External" Id="rId481" /><Relationship Type="http://schemas.openxmlformats.org/officeDocument/2006/relationships/hyperlink" Target="https://www.google.com/maps?q=49.8368584,24.0215618" TargetMode="External" Id="rId482" /><Relationship Type="http://schemas.openxmlformats.org/officeDocument/2006/relationships/hyperlink" Target="https://www.google.com/maps?q=49.8274955,23.9491503" TargetMode="External" Id="rId483" /><Relationship Type="http://schemas.openxmlformats.org/officeDocument/2006/relationships/hyperlink" Target="https://www.google.com/maps?q=49.8062995,24.0611181" TargetMode="External" Id="rId484" /><Relationship Type="http://schemas.openxmlformats.org/officeDocument/2006/relationships/hyperlink" Target="https://www.google.com/maps?q=49.853688,24.0419681" TargetMode="External" Id="rId485" /><Relationship Type="http://schemas.openxmlformats.org/officeDocument/2006/relationships/hyperlink" Target="https://www.google.com/maps?q=49.8392354,24.0283765" TargetMode="External" Id="rId486" /><Relationship Type="http://schemas.openxmlformats.org/officeDocument/2006/relationships/hyperlink" Target="https://www.google.com/maps?q=49.8101909,23.9954415" TargetMode="External" Id="rId487" /><Relationship Type="http://schemas.openxmlformats.org/officeDocument/2006/relationships/hyperlink" Target="https://www.google.com/maps?q=49.8397272,24.0317187" TargetMode="External" Id="rId488" /><Relationship Type="http://schemas.openxmlformats.org/officeDocument/2006/relationships/hyperlink" Target="https://www.google.com/maps?q=49.8421403,24.0220647" TargetMode="External" Id="rId489" /><Relationship Type="http://schemas.openxmlformats.org/officeDocument/2006/relationships/hyperlink" Target="https://www.google.com/maps?q=49.8632042,24.013082" TargetMode="External" Id="rId490" /><Relationship Type="http://schemas.openxmlformats.org/officeDocument/2006/relationships/hyperlink" Target="https://www.google.com/maps?q=49.8444092,24.0245625" TargetMode="External" Id="rId491" /><Relationship Type="http://schemas.openxmlformats.org/officeDocument/2006/relationships/hyperlink" Target="https://www.google.com/maps?q=49.8423419,24.0201389" TargetMode="External" Id="rId492" /><Relationship Type="http://schemas.openxmlformats.org/officeDocument/2006/relationships/hyperlink" Target="https://www.google.com/maps?q=49.8284844,23.9914328" TargetMode="External" Id="rId493" /><Relationship Type="http://schemas.openxmlformats.org/officeDocument/2006/relationships/hyperlink" Target="https://www.google.com/maps?q=49.8352842,24.0222333" TargetMode="External" Id="rId494" /><Relationship Type="http://schemas.openxmlformats.org/officeDocument/2006/relationships/hyperlink" Target="https://www.google.com/maps?q=49.8453152,23.9774158" TargetMode="External" Id="rId495" /><Relationship Type="http://schemas.openxmlformats.org/officeDocument/2006/relationships/hyperlink" Target="https://www.google.com/maps?q=49.836484,24.0181608" TargetMode="External" Id="rId496" /><Relationship Type="http://schemas.openxmlformats.org/officeDocument/2006/relationships/hyperlink" Target="https://www.google.com/maps?q=49.8334231,23.9853752" TargetMode="External" Id="rId497" /><Relationship Type="http://schemas.openxmlformats.org/officeDocument/2006/relationships/hyperlink" Target="tel:+380984761941" TargetMode="External" Id="rId498" /><Relationship Type="http://schemas.openxmlformats.org/officeDocument/2006/relationships/hyperlink" Target="https://www.google.com/maps?q=49.8360296,24.0075069" TargetMode="External" Id="rId499" /><Relationship Type="http://schemas.openxmlformats.org/officeDocument/2006/relationships/hyperlink" Target="https://www.google.com/maps?q=49.8412539,24.0328483" TargetMode="External" Id="rId500" /><Relationship Type="http://schemas.openxmlformats.org/officeDocument/2006/relationships/hyperlink" Target="tel:+380673737722" TargetMode="External" Id="rId501" /><Relationship Type="http://schemas.openxmlformats.org/officeDocument/2006/relationships/hyperlink" Target="https://www.google.com/maps?q=49.8385377,23.9964399" TargetMode="External" Id="rId502" /><Relationship Type="http://schemas.openxmlformats.org/officeDocument/2006/relationships/hyperlink" Target="https://www.google.com/maps?q=49.7863263,24.0564712" TargetMode="External" Id="rId503" /><Relationship Type="http://schemas.openxmlformats.org/officeDocument/2006/relationships/hyperlink" Target="https://www.google.com/maps?q=49.8299282,24.0306587" TargetMode="External" Id="rId504" /><Relationship Type="http://schemas.openxmlformats.org/officeDocument/2006/relationships/hyperlink" Target="https://www.google.com/maps?q=49.8325125,24.0406818" TargetMode="External" Id="rId505" /><Relationship Type="http://schemas.openxmlformats.org/officeDocument/2006/relationships/hyperlink" Target="https://www.google.com/maps?q=49.8320665,23.9951688" TargetMode="External" Id="rId506" /><Relationship Type="http://schemas.openxmlformats.org/officeDocument/2006/relationships/hyperlink" Target="https://www.google.com/maps?q=49.8328783,24.0187946" TargetMode="External" Id="rId507" /><Relationship Type="http://schemas.openxmlformats.org/officeDocument/2006/relationships/hyperlink" Target="https://www.google.com/maps?q=49.8532795,24.0358633" TargetMode="External" Id="rId508" /><Relationship Type="http://schemas.openxmlformats.org/officeDocument/2006/relationships/hyperlink" Target="https://www.google.com/maps?q=49.8471029,24.0259744" TargetMode="External" Id="rId509" /><Relationship Type="http://schemas.openxmlformats.org/officeDocument/2006/relationships/hyperlink" Target="https://www.google.com/maps?q=49.8145318,24.0791623" TargetMode="External" Id="rId510" /><Relationship Type="http://schemas.openxmlformats.org/officeDocument/2006/relationships/hyperlink" Target="https://www.google.com/maps?q=49.8562923,24.0621873" TargetMode="External" Id="rId511" /><Relationship Type="http://schemas.openxmlformats.org/officeDocument/2006/relationships/hyperlink" Target="https://www.google.com/maps?q=49.8370864,24.0215309" TargetMode="External" Id="rId512" /><Relationship Type="http://schemas.openxmlformats.org/officeDocument/2006/relationships/hyperlink" Target="https://www.google.com/maps?q=49.8433065,24.0298268" TargetMode="External" Id="rId513" /><Relationship Type="http://schemas.openxmlformats.org/officeDocument/2006/relationships/hyperlink" Target="https://www.google.com/maps?q=49.8275289,23.9563475" TargetMode="External" Id="rId514" /><Relationship Type="http://schemas.openxmlformats.org/officeDocument/2006/relationships/hyperlink" Target="https://www.google.com/maps?q=49.8383807,24.0319405" TargetMode="External" Id="rId515" /><Relationship Type="http://schemas.openxmlformats.org/officeDocument/2006/relationships/hyperlink" Target="https://www.google.com/maps?q=49.8507474,24.0499212" TargetMode="External" Id="rId516" /><Relationship Type="http://schemas.openxmlformats.org/officeDocument/2006/relationships/hyperlink" Target="tel:+380672904144" TargetMode="External" Id="rId517" /><Relationship Type="http://schemas.openxmlformats.org/officeDocument/2006/relationships/hyperlink" Target="https://www.google.com/maps?q=49.8293424,24.0326389" TargetMode="External" Id="rId518" /><Relationship Type="http://schemas.openxmlformats.org/officeDocument/2006/relationships/hyperlink" Target="https://www.google.com/maps?q=49.8546097,24.0321561" TargetMode="External" Id="rId519" /><Relationship Type="http://schemas.openxmlformats.org/officeDocument/2006/relationships/hyperlink" Target="https://www.google.com/maps?q=49.842973,24.0616716" TargetMode="External" Id="rId520" /><Relationship Type="http://schemas.openxmlformats.org/officeDocument/2006/relationships/hyperlink" Target="https://www.google.com/maps?q=49.8363174,24.012829" TargetMode="External" Id="rId521" /><Relationship Type="http://schemas.openxmlformats.org/officeDocument/2006/relationships/hyperlink" Target="https://www.google.com/maps?q=49.841641,24.030072" TargetMode="External" Id="rId522" /><Relationship Type="http://schemas.openxmlformats.org/officeDocument/2006/relationships/hyperlink" Target="https://www.google.com/maps?q=49.8389397,24.0352584" TargetMode="External" Id="rId523" /><Relationship Type="http://schemas.openxmlformats.org/officeDocument/2006/relationships/hyperlink" Target="tel:+380963848669" TargetMode="External" Id="rId524" /><Relationship Type="http://schemas.openxmlformats.org/officeDocument/2006/relationships/hyperlink" Target="https://www.google.com/maps?q=49.8476568,24.0023658" TargetMode="External" Id="rId525" /><Relationship Type="http://schemas.openxmlformats.org/officeDocument/2006/relationships/hyperlink" Target="https://www.google.com/maps?q=49.8697806,24.0563083" TargetMode="External" Id="rId526" /><Relationship Type="http://schemas.openxmlformats.org/officeDocument/2006/relationships/hyperlink" Target="https://www.google.com/maps?q=49.8421745,23.9820385" TargetMode="External" Id="rId527" /><Relationship Type="http://schemas.openxmlformats.org/officeDocument/2006/relationships/hyperlink" Target="https://www.google.com/maps?q=49.8513875,24.0231446" TargetMode="External" Id="rId528" /><Relationship Type="http://schemas.openxmlformats.org/officeDocument/2006/relationships/hyperlink" Target="https://www.google.com/maps?q=49.8349287,24.0523426" TargetMode="External" Id="rId529" /><Relationship Type="http://schemas.openxmlformats.org/officeDocument/2006/relationships/hyperlink" Target="https://www.google.com/maps?q=49.8410412,24.0329544" TargetMode="External" Id="rId530" /><Relationship Type="http://schemas.openxmlformats.org/officeDocument/2006/relationships/hyperlink" Target="https://www.google.com/maps?q=49.8095399,24.007556" TargetMode="External" Id="rId531" /><Relationship Type="http://schemas.openxmlformats.org/officeDocument/2006/relationships/hyperlink" Target="https://www.google.com/maps?q=49.8333792,23.9844499" TargetMode="External" Id="rId532" /><Relationship Type="http://schemas.openxmlformats.org/officeDocument/2006/relationships/hyperlink" Target="https://www.google.com/maps?q=49.8385617,23.9965984" TargetMode="External" Id="rId533" /><Relationship Type="http://schemas.openxmlformats.org/officeDocument/2006/relationships/hyperlink" Target="https://www.google.com/maps?q=49.824507,24.0120722" TargetMode="External" Id="rId534" /><Relationship Type="http://schemas.openxmlformats.org/officeDocument/2006/relationships/hyperlink" Target="https://www.google.com/maps?q=49.831732,23.9966308" TargetMode="External" Id="rId535" /><Relationship Type="http://schemas.openxmlformats.org/officeDocument/2006/relationships/hyperlink" Target="https://www.google.com/maps?q=49.8419558,24.0253165" TargetMode="External" Id="rId536" /><Relationship Type="http://schemas.openxmlformats.org/officeDocument/2006/relationships/hyperlink" Target="https://www.google.com/maps?q=49.8011186,23.9884039" TargetMode="External" Id="rId537" /><Relationship Type="http://schemas.openxmlformats.org/officeDocument/2006/relationships/hyperlink" Target="https://www.google.com/maps?q=49.8291768,24.0230003" TargetMode="External" Id="rId538" /><Relationship Type="http://schemas.openxmlformats.org/officeDocument/2006/relationships/hyperlink" Target="https://www.google.com/maps?q=49.8499216,24.0209048" TargetMode="External" Id="rId539" /><Relationship Type="http://schemas.openxmlformats.org/officeDocument/2006/relationships/hyperlink" Target="https://www.google.com/maps?q=49.8376949,24.0242258" TargetMode="External" Id="rId540" /><Relationship Type="http://schemas.openxmlformats.org/officeDocument/2006/relationships/hyperlink" Target="https://www.google.com/maps?q=49.8360602,24.0043388" TargetMode="External" Id="rId541" /><Relationship Type="http://schemas.openxmlformats.org/officeDocument/2006/relationships/hyperlink" Target="https://www.google.com/maps?q=49.8416658,24.0231099" TargetMode="External" Id="rId542" /><Relationship Type="http://schemas.openxmlformats.org/officeDocument/2006/relationships/hyperlink" Target="https://www.google.com/maps?q=49.8238722,24.0523828" TargetMode="External" Id="rId543" /><Relationship Type="http://schemas.openxmlformats.org/officeDocument/2006/relationships/hyperlink" Target="https://www.google.com/maps?q=49.7959395,24.0179771" TargetMode="External" Id="rId544" /><Relationship Type="http://schemas.openxmlformats.org/officeDocument/2006/relationships/hyperlink" Target="https://www.google.com/maps?q=49.8430935,24.0309906" TargetMode="External" Id="rId545" /><Relationship Type="http://schemas.openxmlformats.org/officeDocument/2006/relationships/hyperlink" Target="https://www.google.com/maps?q=49.8332423,24.0097752" TargetMode="External" Id="rId546" /><Relationship Type="http://schemas.openxmlformats.org/officeDocument/2006/relationships/hyperlink" Target="https://www.google.com/maps?q=49.8378294,24.0063366" TargetMode="External" Id="rId547" /><Relationship Type="http://schemas.openxmlformats.org/officeDocument/2006/relationships/hyperlink" Target="https://www.google.com/maps?q=49.8272002,24.0211993" TargetMode="External" Id="rId548" /><Relationship Type="http://schemas.openxmlformats.org/officeDocument/2006/relationships/hyperlink" Target="https://www.google.com/maps?q=49.850362,24.0212744" TargetMode="External" Id="rId549" /><Relationship Type="http://schemas.openxmlformats.org/officeDocument/2006/relationships/hyperlink" Target="https://www.google.com/maps?q=49.8424176,23.9619286" TargetMode="External" Id="rId550" /><Relationship Type="http://schemas.openxmlformats.org/officeDocument/2006/relationships/hyperlink" Target="https://www.google.com/maps?q=49.834834,24.085115" TargetMode="External" Id="rId551" /><Relationship Type="http://schemas.openxmlformats.org/officeDocument/2006/relationships/hyperlink" Target="https://www.google.com/maps?q=49.8435723,24.0258513" TargetMode="External" Id="rId552" /><Relationship Type="http://schemas.openxmlformats.org/officeDocument/2006/relationships/hyperlink" Target="https://www.google.com/maps?q=49.8504619,23.9917533" TargetMode="External" Id="rId553" /><Relationship Type="http://schemas.openxmlformats.org/officeDocument/2006/relationships/hyperlink" Target="https://www.google.com/maps?q=49.8538201,24.0410989" TargetMode="External" Id="rId554" /><Relationship Type="http://schemas.openxmlformats.org/officeDocument/2006/relationships/hyperlink" Target="tel:+380322975565" TargetMode="External" Id="rId555" /><Relationship Type="http://schemas.openxmlformats.org/officeDocument/2006/relationships/hyperlink" Target="https://www.google.com/maps?q=49.8417469,24.0311236" TargetMode="External" Id="rId556" /><Relationship Type="http://schemas.openxmlformats.org/officeDocument/2006/relationships/hyperlink" Target="https://www.google.com/maps?q=49.837439,24.0295813" TargetMode="External" Id="rId557" /><Relationship Type="http://schemas.openxmlformats.org/officeDocument/2006/relationships/hyperlink" Target="https://www.google.com/maps?q=49.8328196,24.0158906" TargetMode="External" Id="rId558" /><Relationship Type="http://schemas.openxmlformats.org/officeDocument/2006/relationships/hyperlink" Target="https://www.google.com/maps?q=49.8361998,24.0069485" TargetMode="External" Id="rId559" /><Relationship Type="http://schemas.openxmlformats.org/officeDocument/2006/relationships/hyperlink" Target="https://www.google.com/maps?q=49.827501,24.0331849" TargetMode="External" Id="rId560" /><Relationship Type="http://schemas.openxmlformats.org/officeDocument/2006/relationships/hyperlink" Target="https://www.google.com/maps?q=49.8125366,23.9931866" TargetMode="External" Id="rId561" /><Relationship Type="http://schemas.openxmlformats.org/officeDocument/2006/relationships/hyperlink" Target="https://www.google.com/maps?q=49.8431349,24.0321112" TargetMode="External" Id="rId562" /><Relationship Type="http://schemas.openxmlformats.org/officeDocument/2006/relationships/hyperlink" Target="https://www.google.com/maps?q=49.8205926,23.9142103" TargetMode="External" Id="rId563" /><Relationship Type="http://schemas.openxmlformats.org/officeDocument/2006/relationships/hyperlink" Target="https://www.google.com/maps?q=49.8363813,24.0093865" TargetMode="External" Id="rId564" /><Relationship Type="http://schemas.openxmlformats.org/officeDocument/2006/relationships/hyperlink" Target="https://www.google.com/maps?q=49.808334,24.007904" TargetMode="External" Id="rId565" /><Relationship Type="http://schemas.openxmlformats.org/officeDocument/2006/relationships/hyperlink" Target="https://www.google.com/maps?q=49.7850292,24.0608668" TargetMode="External" Id="rId566" /><Relationship Type="http://schemas.openxmlformats.org/officeDocument/2006/relationships/hyperlink" Target="https://www.google.com/maps?q=49.815933,23.9564516" TargetMode="External" Id="rId567" /><Relationship Type="http://schemas.openxmlformats.org/officeDocument/2006/relationships/hyperlink" Target="https://www.google.com/maps?q=49.8652111,24.0555563" TargetMode="External" Id="rId568" /><Relationship Type="http://schemas.openxmlformats.org/officeDocument/2006/relationships/hyperlink" Target="https://www.google.com/maps?q=49.8376079,24.0040621" TargetMode="External" Id="rId569" /><Relationship Type="http://schemas.openxmlformats.org/officeDocument/2006/relationships/hyperlink" Target="https://www.google.com/maps?q=49.8130959,23.9767932" TargetMode="External" Id="rId570" /><Relationship Type="http://schemas.openxmlformats.org/officeDocument/2006/relationships/hyperlink" Target="https://www.google.com/maps?q=49.7824357,23.9873502" TargetMode="External" Id="rId571" /><Relationship Type="http://schemas.openxmlformats.org/officeDocument/2006/relationships/hyperlink" Target="https://www.google.com/maps?q=49.8362995,24.0400986" TargetMode="External" Id="rId572" /><Relationship Type="http://schemas.openxmlformats.org/officeDocument/2006/relationships/hyperlink" Target="tel:+380679018973" TargetMode="External" Id="rId573" /><Relationship Type="http://schemas.openxmlformats.org/officeDocument/2006/relationships/hyperlink" Target="https://www.google.com/maps?q=49.8146657,23.9780308" TargetMode="External" Id="rId574" /><Relationship Type="http://schemas.openxmlformats.org/officeDocument/2006/relationships/hyperlink" Target="https://www.google.com/maps?q=49.8670909,23.9992925" TargetMode="External" Id="rId575" /><Relationship Type="http://schemas.openxmlformats.org/officeDocument/2006/relationships/hyperlink" Target="https://www.google.com/maps?q=49.8740531,23.9503197" TargetMode="External" Id="rId576" /><Relationship Type="http://schemas.openxmlformats.org/officeDocument/2006/relationships/hyperlink" Target="https://www.google.com/maps?q=49.8379753,23.9985406" TargetMode="External" Id="rId577" /><Relationship Type="http://schemas.openxmlformats.org/officeDocument/2006/relationships/hyperlink" Target="https://www.google.com/maps?q=49.8431135,24.0369656" TargetMode="External" Id="rId578" /><Relationship Type="http://schemas.openxmlformats.org/officeDocument/2006/relationships/hyperlink" Target="https://www.google.com/maps?q=49.8411429,24.0331089" TargetMode="External" Id="rId579" /><Relationship Type="http://schemas.openxmlformats.org/officeDocument/2006/relationships/hyperlink" Target="https://www.google.com/maps?q=49.8436917,24.0328283" TargetMode="External" Id="rId580" /><Relationship Type="http://schemas.openxmlformats.org/officeDocument/2006/relationships/hyperlink" Target="https://www.google.com/maps?q=49.8260956,23.9723377" TargetMode="External" Id="rId581" /><Relationship Type="http://schemas.openxmlformats.org/officeDocument/2006/relationships/hyperlink" Target="https://www.google.com/maps?q=49.8384039,24.0078271" TargetMode="External" Id="rId582" /><Relationship Type="http://schemas.openxmlformats.org/officeDocument/2006/relationships/hyperlink" Target="tel:+380939398488" TargetMode="External" Id="rId583" /><Relationship Type="http://schemas.openxmlformats.org/officeDocument/2006/relationships/hyperlink" Target="https://www.google.com/maps?q=49.8035439,24.0197304" TargetMode="External" Id="rId584" /><Relationship Type="http://schemas.openxmlformats.org/officeDocument/2006/relationships/hyperlink" Target="https://www.google.com/maps?q=49.8279294,23.9524387" TargetMode="External" Id="rId585" /><Relationship Type="http://schemas.openxmlformats.org/officeDocument/2006/relationships/hyperlink" Target="https://www.google.com/maps?q=49.7846149,24.0555761" TargetMode="External" Id="rId586" /><Relationship Type="http://schemas.openxmlformats.org/officeDocument/2006/relationships/hyperlink" Target="https://www.google.com/maps?q=49.8307952,24.0030359" TargetMode="External" Id="rId587" /><Relationship Type="http://schemas.openxmlformats.org/officeDocument/2006/relationships/hyperlink" Target="https://www.google.com/maps?q=49.8347324,23.9753658" TargetMode="External" Id="rId588" /><Relationship Type="http://schemas.openxmlformats.org/officeDocument/2006/relationships/hyperlink" Target="https://www.google.com/maps?q=49.8398415,24.0132004" TargetMode="External" Id="rId589" /><Relationship Type="http://schemas.openxmlformats.org/officeDocument/2006/relationships/hyperlink" Target="https://www.google.com/maps?q=49.8381072,24.036601" TargetMode="External" Id="rId590" /><Relationship Type="http://schemas.openxmlformats.org/officeDocument/2006/relationships/hyperlink" Target="https://www.google.com/maps?q=49.8173028,24.023331" TargetMode="External" Id="rId591" /><Relationship Type="http://schemas.openxmlformats.org/officeDocument/2006/relationships/hyperlink" Target="https://www.google.com/maps?q=49.8371852,24.0220463" TargetMode="External" Id="rId592" /><Relationship Type="http://schemas.openxmlformats.org/officeDocument/2006/relationships/hyperlink" Target="https://www.google.com/maps?q=49.8305501,24.0683739" TargetMode="External" Id="rId593" /><Relationship Type="http://schemas.openxmlformats.org/officeDocument/2006/relationships/hyperlink" Target="https://www.google.com/maps?q=49.8685546,24.051824" TargetMode="External" Id="rId594" /><Relationship Type="http://schemas.openxmlformats.org/officeDocument/2006/relationships/hyperlink" Target="https://www.google.com/maps?q=49.8036853,24.0644134" TargetMode="External" Id="rId595" /><Relationship Type="http://schemas.openxmlformats.org/officeDocument/2006/relationships/hyperlink" Target="https://www.google.com/maps?q=49.8348081,24.0327132" TargetMode="External" Id="rId596" /><Relationship Type="http://schemas.openxmlformats.org/officeDocument/2006/relationships/hyperlink" Target="https://www.google.com/maps?q=49.834024,24.0104768" TargetMode="External" Id="rId597" /><Relationship Type="http://schemas.openxmlformats.org/officeDocument/2006/relationships/hyperlink" Target="https://www.google.com/maps?q=49.7843996,24.0601914" TargetMode="External" Id="rId598" /><Relationship Type="http://schemas.openxmlformats.org/officeDocument/2006/relationships/hyperlink" Target="https://www.google.com/maps?q=49.8408472,24.0260057" TargetMode="External" Id="rId599" /><Relationship Type="http://schemas.openxmlformats.org/officeDocument/2006/relationships/hyperlink" Target="https://www.google.com/maps?q=49.8236255,24.0530017" TargetMode="External" Id="rId600" /><Relationship Type="http://schemas.openxmlformats.org/officeDocument/2006/relationships/hyperlink" Target="https://www.google.com/maps?q=49.834425,24.0513056" TargetMode="External" Id="rId601" /><Relationship Type="http://schemas.openxmlformats.org/officeDocument/2006/relationships/hyperlink" Target="https://www.google.com/maps?q=49.8419971,24.0263498" TargetMode="External" Id="rId602" /><Relationship Type="http://schemas.openxmlformats.org/officeDocument/2006/relationships/hyperlink" Target="https://www.google.com/maps?q=49.8100644,23.9732659" TargetMode="External" Id="rId603" /><Relationship Type="http://schemas.openxmlformats.org/officeDocument/2006/relationships/hyperlink" Target="https://www.google.com/maps?q=49.8387916,23.9963911" TargetMode="External" Id="rId604" /><Relationship Type="http://schemas.openxmlformats.org/officeDocument/2006/relationships/hyperlink" Target="https://www.google.com/maps?q=49.8454259,24.0265562" TargetMode="External" Id="rId605" /><Relationship Type="http://schemas.openxmlformats.org/officeDocument/2006/relationships/hyperlink" Target="https://www.google.com/maps?q=49.8419382,24.0340897" TargetMode="External" Id="rId606" /><Relationship Type="http://schemas.openxmlformats.org/officeDocument/2006/relationships/hyperlink" Target="https://www.google.com/maps?q=49.8402983,24.034128" TargetMode="External" Id="rId607" /><Relationship Type="http://schemas.openxmlformats.org/officeDocument/2006/relationships/hyperlink" Target="https://www.google.com/maps?q=49.84158,24.0348772" TargetMode="External" Id="rId608" /><Relationship Type="http://schemas.openxmlformats.org/officeDocument/2006/relationships/hyperlink" Target="tel:+380983213464" TargetMode="External" Id="rId609" /><Relationship Type="http://schemas.openxmlformats.org/officeDocument/2006/relationships/hyperlink" Target="https://www.google.com/maps?q=49.8386303,24.0323124" TargetMode="External" Id="rId610" /><Relationship Type="http://schemas.openxmlformats.org/officeDocument/2006/relationships/hyperlink" Target="https://www.google.com/maps?q=49.8455005,23.9671936" TargetMode="External" Id="rId611" /><Relationship Type="http://schemas.openxmlformats.org/officeDocument/2006/relationships/hyperlink" Target="https://www.google.com/maps?q=49.8285217,23.9866264" TargetMode="External" Id="rId612" /><Relationship Type="http://schemas.openxmlformats.org/officeDocument/2006/relationships/hyperlink" Target="https://www.google.com/maps?q=49.8255264,24.0389802" TargetMode="External" Id="rId613" /><Relationship Type="http://schemas.openxmlformats.org/officeDocument/2006/relationships/hyperlink" Target="https://www.google.com/maps?q=49.843249,24.031534" TargetMode="External" Id="rId614" /><Relationship Type="http://schemas.openxmlformats.org/officeDocument/2006/relationships/hyperlink" Target="https://www.google.com/maps?q=49.8438883,24.0301502" TargetMode="External" Id="rId615" /><Relationship Type="http://schemas.openxmlformats.org/officeDocument/2006/relationships/hyperlink" Target="https://www.google.com/maps?q=49.8405481,24.0307504" TargetMode="External" Id="rId616" /><Relationship Type="http://schemas.openxmlformats.org/officeDocument/2006/relationships/hyperlink" Target="https://www.google.com/maps?q=49.797822,24.0432241" TargetMode="External" Id="rId617" /><Relationship Type="http://schemas.openxmlformats.org/officeDocument/2006/relationships/hyperlink" Target="https://www.google.com/maps?q=49.8404945,24.0266428" TargetMode="External" Id="rId618" /><Relationship Type="http://schemas.openxmlformats.org/officeDocument/2006/relationships/hyperlink" Target="https://www.google.com/maps?q=49.8403899,24.0327827" TargetMode="External" Id="rId619" /><Relationship Type="http://schemas.openxmlformats.org/officeDocument/2006/relationships/hyperlink" Target="https://www.google.com/maps?q=49.8335805,24.0417525" TargetMode="External" Id="rId620" /><Relationship Type="http://schemas.openxmlformats.org/officeDocument/2006/relationships/hyperlink" Target="https://www.google.com/maps?q=49.8138051,23.9594831" TargetMode="External" Id="rId621" /><Relationship Type="http://schemas.openxmlformats.org/officeDocument/2006/relationships/hyperlink" Target="https://www.google.com/maps?q=49.8368698,24.0058768" TargetMode="External" Id="rId622" /><Relationship Type="http://schemas.openxmlformats.org/officeDocument/2006/relationships/hyperlink" Target="https://www.google.com/maps?q=49.8392069,24.0284736" TargetMode="External" Id="rId623" /><Relationship Type="http://schemas.openxmlformats.org/officeDocument/2006/relationships/hyperlink" Target="https://www.google.com/maps?q=49.8543869,24.022339" TargetMode="External" Id="rId624" /><Relationship Type="http://schemas.openxmlformats.org/officeDocument/2006/relationships/hyperlink" Target="https://www.google.com/maps?q=49.8280719,23.9532068" TargetMode="External" Id="rId625" /><Relationship Type="http://schemas.openxmlformats.org/officeDocument/2006/relationships/hyperlink" Target="https://www.google.com/maps?q=49.8405319,24.0321023" TargetMode="External" Id="rId626" /><Relationship Type="http://schemas.openxmlformats.org/officeDocument/2006/relationships/hyperlink" Target="https://www.google.com/maps?q=49.8437539,24.0274448" TargetMode="External" Id="rId627" /><Relationship Type="http://schemas.openxmlformats.org/officeDocument/2006/relationships/hyperlink" Target="https://www.google.com/maps?q=49.8375927,24.0295298" TargetMode="External" Id="rId628" /><Relationship Type="http://schemas.openxmlformats.org/officeDocument/2006/relationships/hyperlink" Target="https://www.google.com/maps?q=49.8411517,24.0327005" TargetMode="External" Id="rId629" /><Relationship Type="http://schemas.openxmlformats.org/officeDocument/2006/relationships/hyperlink" Target="tel:+380989816207" TargetMode="External" Id="rId630" /><Relationship Type="http://schemas.openxmlformats.org/officeDocument/2006/relationships/hyperlink" Target="https://www.google.com/maps?q=49.8657874,24.0244973" TargetMode="External" Id="rId631" /><Relationship Type="http://schemas.openxmlformats.org/officeDocument/2006/relationships/hyperlink" Target="https://www.google.com/maps?q=49.835536,24.075064" TargetMode="External" Id="rId632" /><Relationship Type="http://schemas.openxmlformats.org/officeDocument/2006/relationships/hyperlink" Target="https://www.google.com/maps?q=49.8411747,24.0297801" TargetMode="External" Id="rId633" /><Relationship Type="http://schemas.openxmlformats.org/officeDocument/2006/relationships/hyperlink" Target="https://www.google.com/maps?q=49.8432257,24.0300502" TargetMode="External" Id="rId634" /><Relationship Type="http://schemas.openxmlformats.org/officeDocument/2006/relationships/hyperlink" Target="https://www.google.com/maps?q=49.845494,24.0229838" TargetMode="External" Id="rId635" /><Relationship Type="http://schemas.openxmlformats.org/officeDocument/2006/relationships/hyperlink" Target="https://www.google.com/maps?q=49.8446103,23.9597581" TargetMode="External" Id="rId636" /><Relationship Type="http://schemas.openxmlformats.org/officeDocument/2006/relationships/hyperlink" Target="tel:+380676767513" TargetMode="External" Id="rId637" /><Relationship Type="http://schemas.openxmlformats.org/officeDocument/2006/relationships/hyperlink" Target="https://www.google.com/maps?q=49.8420185,24.0327036" TargetMode="External" Id="rId638" /><Relationship Type="http://schemas.openxmlformats.org/officeDocument/2006/relationships/hyperlink" Target="https://www.google.com/maps?q=49.8487681,23.9698182" TargetMode="External" Id="rId639" /><Relationship Type="http://schemas.openxmlformats.org/officeDocument/2006/relationships/hyperlink" Target="https://www.google.com/maps?q=49.8409862,24.0342452" TargetMode="External" Id="rId640" /><Relationship Type="http://schemas.openxmlformats.org/officeDocument/2006/relationships/hyperlink" Target="https://www.google.com/maps?q=49.8333821,24.0357782" TargetMode="External" Id="rId641" /><Relationship Type="http://schemas.openxmlformats.org/officeDocument/2006/relationships/hyperlink" Target="https://www.google.com/maps?q=49.8022508,24.0655878" TargetMode="External" Id="rId642" /><Relationship Type="http://schemas.openxmlformats.org/officeDocument/2006/relationships/hyperlink" Target="https://www.google.com/maps?q=49.8276076,24.0109845" TargetMode="External" Id="rId643" /><Relationship Type="http://schemas.openxmlformats.org/officeDocument/2006/relationships/hyperlink" Target="https://www.google.com/maps?q=49.8075717,23.9936536" TargetMode="External" Id="rId644" /><Relationship Type="http://schemas.openxmlformats.org/officeDocument/2006/relationships/hyperlink" Target="https://www.google.com/maps?q=49.8627005,24.0510282" TargetMode="External" Id="rId645" /><Relationship Type="http://schemas.openxmlformats.org/officeDocument/2006/relationships/hyperlink" Target="https://www.google.com/maps?q=49.8089514,23.9843809" TargetMode="External" Id="rId646" /><Relationship Type="http://schemas.openxmlformats.org/officeDocument/2006/relationships/hyperlink" Target="https://www.google.com/maps?q=49.8454685,24.0295549" TargetMode="External" Id="rId647" /><Relationship Type="http://schemas.openxmlformats.org/officeDocument/2006/relationships/drawing" Target="/xl/drawings/drawing1.xml" Id="rId648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4F46E5"/>
    <outlinePr summaryBelow="1" summaryRight="1"/>
    <pageSetUpPr/>
  </sheetPr>
  <dimension ref="A1:Z477"/>
  <sheetViews>
    <sheetView showGridLines="0" zoomScale="85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5" customWidth="1" min="3" max="3"/>
    <col width="16" customWidth="1" min="4" max="4"/>
    <col width="18" customWidth="1" min="5" max="5"/>
    <col width="22" customWidth="1" min="6" max="6"/>
    <col width="5" customWidth="1" min="7" max="7"/>
    <col width="7" customWidth="1" min="8" max="8"/>
    <col width="9" customWidth="1" min="9" max="9"/>
    <col width="18" customWidth="1" min="10" max="10"/>
    <col width="7" customWidth="1" min="11" max="11"/>
    <col width="6" customWidth="1" min="12" max="12"/>
    <col width="10" customWidth="1" min="13" max="13"/>
    <col width="22" customWidth="1" min="14" max="14"/>
    <col width="20" customWidth="1" min="15" max="15"/>
    <col width="9" customWidth="1" min="16" max="16"/>
    <col width="17" customWidth="1" min="17" max="17"/>
    <col width="11" customWidth="1" min="18" max="18"/>
    <col width="14" customWidth="1" min="19" max="19"/>
    <col width="20" customWidth="1" min="20" max="20"/>
    <col width="24" customWidth="1" min="21" max="21"/>
    <col width="10" customWidth="1" min="22" max="22"/>
    <col width="30" customWidth="1" min="23" max="23"/>
    <col width="20" customWidth="1" min="25" max="25"/>
    <col width="10" customWidth="1" min="26" max="26"/>
  </cols>
  <sheetData>
    <row r="1" ht="22" customHeight="1">
      <c r="A1" s="1" t="inlineStr"/>
      <c r="B1" s="2" t="inlineStr">
        <is>
          <t xml:space="preserve">  📍  ІНФОРМАЦІЯ</t>
        </is>
      </c>
      <c r="J1" s="3" t="inlineStr">
        <is>
          <t xml:space="preserve">  🔍  АНАЛІЗ</t>
        </is>
      </c>
      <c r="Q1" s="4" t="inlineStr">
        <is>
          <t xml:space="preserve">  💼  CRM ПРОДАЖІ</t>
        </is>
      </c>
    </row>
    <row r="2" ht="34" customHeight="1">
      <c r="A2" s="5" t="inlineStr">
        <is>
          <t>#</t>
        </is>
      </c>
      <c r="B2" s="6" t="inlineStr">
        <is>
          <t>НАЗВА ЗАКЛАДУ</t>
        </is>
      </c>
      <c r="C2" s="6" t="inlineStr">
        <is>
          <t>АДРЕСА</t>
        </is>
      </c>
      <c r="D2" s="6" t="inlineStr">
        <is>
          <t>ТЕЛЕФОН</t>
        </is>
      </c>
      <c r="E2" s="6" t="inlineStr">
        <is>
          <t>INSTAGRAM</t>
        </is>
      </c>
      <c r="F2" s="6" t="inlineStr">
        <is>
          <t>WEBSITE</t>
        </is>
      </c>
      <c r="G2" s="6" t="inlineStr">
        <is>
          <t>📍</t>
        </is>
      </c>
      <c r="H2" s="6" t="inlineStr">
        <is>
          <t>⭐</t>
        </is>
      </c>
      <c r="I2" s="6" t="inlineStr">
        <is>
          <t>ВІДГУКІВ</t>
        </is>
      </c>
      <c r="J2" s="7" t="inlineStr">
        <is>
          <t>ТИП ЛІДУ</t>
        </is>
      </c>
      <c r="K2" s="7" t="inlineStr">
        <is>
          <t>САЙТ</t>
        </is>
      </c>
      <c r="L2" s="7" t="inlineStr">
        <is>
          <t>IG</t>
        </is>
      </c>
      <c r="M2" s="7" t="inlineStr">
        <is>
          <t>ПРІОРИТ.</t>
        </is>
      </c>
      <c r="N2" s="7" t="inlineStr">
        <is>
          <t>ПРИЧИНА</t>
        </is>
      </c>
      <c r="O2" s="7" t="inlineStr">
        <is>
          <t>ПІДХІД</t>
        </is>
      </c>
      <c r="P2" s="7" t="inlineStr">
        <is>
          <t>ЯКІСТЬ
1–10</t>
        </is>
      </c>
      <c r="Q2" s="8" t="inlineStr">
        <is>
          <t>КОНТАКТ</t>
        </is>
      </c>
      <c r="R2" s="8" t="inlineStr">
        <is>
          <t>ПЕРШИЙ
КОНТАКТ</t>
        </is>
      </c>
      <c r="S2" s="8" t="inlineStr">
        <is>
          <t>СПОСІБ</t>
        </is>
      </c>
      <c r="T2" s="8" t="inlineStr">
        <is>
          <t>СТАТУС</t>
        </is>
      </c>
      <c r="U2" s="8" t="inlineStr">
        <is>
          <t>НАСТУПНА ДІЯ</t>
        </is>
      </c>
      <c r="V2" s="8" t="inlineStr">
        <is>
          <t>ДАТА ДІЇ</t>
        </is>
      </c>
      <c r="W2" s="8" t="inlineStr">
        <is>
          <t>КОМЕНТАР</t>
        </is>
      </c>
    </row>
    <row r="3" ht="20" customHeight="1">
      <c r="A3" s="9" t="n">
        <v>1</v>
      </c>
      <c r="B3" s="10" t="inlineStr">
        <is>
          <t>Cacao</t>
        </is>
      </c>
      <c r="C3" s="10" t="inlineStr">
        <is>
          <t>вул. проспект Червоної Калини, 68, Львів</t>
        </is>
      </c>
      <c r="D3" s="11" t="inlineStr"/>
      <c r="E3" s="11" t="inlineStr"/>
      <c r="F3" s="12" t="inlineStr">
        <is>
          <t>https://www.instagram.com/cacao.lviv?igsh=YzFyMm5yaDl0ZnE=</t>
        </is>
      </c>
      <c r="G3" s="13" t="inlineStr">
        <is>
          <t>📍</t>
        </is>
      </c>
      <c r="H3" s="11" t="inlineStr"/>
      <c r="I3" s="11" t="inlineStr"/>
      <c r="J3" s="14" t="inlineStr">
        <is>
          <t>🌐 Є сайт</t>
        </is>
      </c>
      <c r="K3" s="15" t="inlineStr">
        <is>
          <t>✅</t>
        </is>
      </c>
      <c r="L3" s="16" t="inlineStr">
        <is>
          <t>❌</t>
        </is>
      </c>
      <c r="M3" s="17" t="inlineStr">
        <is>
          <t>🟡 B</t>
        </is>
      </c>
      <c r="N3" s="10" t="inlineStr"/>
      <c r="O3" s="10" t="inlineStr"/>
      <c r="P3" s="11" t="inlineStr"/>
      <c r="Q3" s="11" t="inlineStr"/>
      <c r="R3" s="18" t="n"/>
      <c r="S3" s="11" t="inlineStr"/>
      <c r="T3" s="19" t="inlineStr">
        <is>
          <t>🟡 Новий</t>
        </is>
      </c>
      <c r="U3" s="10" t="inlineStr"/>
      <c r="V3" s="18" t="n"/>
      <c r="W3" s="10" t="inlineStr"/>
    </row>
    <row r="4" ht="20" customHeight="1">
      <c r="A4" s="20" t="n">
        <v>2</v>
      </c>
      <c r="B4" s="21" t="inlineStr">
        <is>
          <t>Celentano</t>
        </is>
      </c>
      <c r="C4" s="21" t="inlineStr">
        <is>
          <t>вул. вулиця Тараса Шевченка, 17, Львів</t>
        </is>
      </c>
      <c r="D4" s="22" t="inlineStr">
        <is>
          <t>+38068 055 1717</t>
        </is>
      </c>
      <c r="E4" s="23" t="inlineStr"/>
      <c r="F4" s="24" t="inlineStr">
        <is>
          <t>https://www.velyka-brytaniya.celentano.delivery/</t>
        </is>
      </c>
      <c r="G4" s="25" t="inlineStr">
        <is>
          <t>📍</t>
        </is>
      </c>
      <c r="H4" s="23" t="inlineStr"/>
      <c r="I4" s="23" t="inlineStr"/>
      <c r="J4" s="14" t="inlineStr">
        <is>
          <t>🌐 Є сайт</t>
        </is>
      </c>
      <c r="K4" s="26" t="inlineStr">
        <is>
          <t>✅</t>
        </is>
      </c>
      <c r="L4" s="27" t="inlineStr">
        <is>
          <t>❌</t>
        </is>
      </c>
      <c r="M4" s="17" t="inlineStr">
        <is>
          <t>🟡 B</t>
        </is>
      </c>
      <c r="N4" s="21" t="inlineStr"/>
      <c r="O4" s="21" t="inlineStr"/>
      <c r="P4" s="23" t="inlineStr"/>
      <c r="Q4" s="23" t="inlineStr"/>
      <c r="R4" s="28" t="n"/>
      <c r="S4" s="23" t="inlineStr"/>
      <c r="T4" s="19" t="inlineStr">
        <is>
          <t>🟡 Новий</t>
        </is>
      </c>
      <c r="U4" s="21" t="inlineStr"/>
      <c r="V4" s="28" t="n"/>
      <c r="W4" s="21" t="inlineStr"/>
      <c r="Y4" s="29" t="inlineStr">
        <is>
          <t>🟡 Новий</t>
        </is>
      </c>
      <c r="Z4" s="30">
        <f>COUNTIF(T$3:T$977,"🟡 Новий")</f>
        <v/>
      </c>
    </row>
    <row r="5" ht="20" customHeight="1">
      <c r="A5" s="9" t="n">
        <v>3</v>
      </c>
      <c r="B5" s="10" t="inlineStr">
        <is>
          <t>Cheese Bakery</t>
        </is>
      </c>
      <c r="C5" s="10" t="inlineStr">
        <is>
          <t>Львів</t>
        </is>
      </c>
      <c r="D5" s="11" t="inlineStr"/>
      <c r="E5" s="11" t="inlineStr"/>
      <c r="F5" s="12" t="inlineStr">
        <is>
          <t>https://cheesebakery.com.ua/</t>
        </is>
      </c>
      <c r="G5" s="13" t="inlineStr">
        <is>
          <t>📍</t>
        </is>
      </c>
      <c r="H5" s="11" t="inlineStr"/>
      <c r="I5" s="11" t="inlineStr"/>
      <c r="J5" s="14" t="inlineStr">
        <is>
          <t>🌐 Є сайт</t>
        </is>
      </c>
      <c r="K5" s="15" t="inlineStr">
        <is>
          <t>✅</t>
        </is>
      </c>
      <c r="L5" s="16" t="inlineStr">
        <is>
          <t>❌</t>
        </is>
      </c>
      <c r="M5" s="17" t="inlineStr">
        <is>
          <t>🟡 B</t>
        </is>
      </c>
      <c r="N5" s="10" t="inlineStr"/>
      <c r="O5" s="10" t="inlineStr"/>
      <c r="P5" s="11" t="inlineStr"/>
      <c r="Q5" s="11" t="inlineStr"/>
      <c r="R5" s="18" t="n"/>
      <c r="S5" s="11" t="inlineStr"/>
      <c r="T5" s="19" t="inlineStr">
        <is>
          <t>🟡 Новий</t>
        </is>
      </c>
      <c r="U5" s="10" t="inlineStr"/>
      <c r="V5" s="18" t="n"/>
      <c r="W5" s="10" t="inlineStr"/>
      <c r="Y5" s="29" t="inlineStr">
        <is>
          <t>🔵 Домовляємось</t>
        </is>
      </c>
      <c r="Z5" s="30">
        <f>COUNTIF(T$3:T$977,"🔵 Домовляємось")</f>
        <v/>
      </c>
    </row>
    <row r="6" ht="20" customHeight="1">
      <c r="A6" s="20" t="n">
        <v>4</v>
      </c>
      <c r="B6" s="21" t="inlineStr">
        <is>
          <t>Coffee Lab</t>
        </is>
      </c>
      <c r="C6" s="21" t="inlineStr">
        <is>
          <t>вул. Стрийська вулиця, 76, Львів</t>
        </is>
      </c>
      <c r="D6" s="22" t="inlineStr">
        <is>
          <t>+380673444423</t>
        </is>
      </c>
      <c r="E6" s="23" t="inlineStr"/>
      <c r="F6" s="24" t="inlineStr">
        <is>
          <t>https://www.facebook.com/coffeelablviv</t>
        </is>
      </c>
      <c r="G6" s="25" t="inlineStr">
        <is>
          <t>📍</t>
        </is>
      </c>
      <c r="H6" s="23" t="inlineStr"/>
      <c r="I6" s="23" t="inlineStr"/>
      <c r="J6" s="14" t="inlineStr">
        <is>
          <t>🌐 Є сайт</t>
        </is>
      </c>
      <c r="K6" s="26" t="inlineStr">
        <is>
          <t>✅</t>
        </is>
      </c>
      <c r="L6" s="27" t="inlineStr">
        <is>
          <t>❌</t>
        </is>
      </c>
      <c r="M6" s="17" t="inlineStr">
        <is>
          <t>🟡 B</t>
        </is>
      </c>
      <c r="N6" s="21" t="inlineStr"/>
      <c r="O6" s="21" t="inlineStr"/>
      <c r="P6" s="23" t="inlineStr"/>
      <c r="Q6" s="23" t="inlineStr"/>
      <c r="R6" s="28" t="n"/>
      <c r="S6" s="23" t="inlineStr"/>
      <c r="T6" s="19" t="inlineStr">
        <is>
          <t>🟡 Новий</t>
        </is>
      </c>
      <c r="U6" s="21" t="inlineStr"/>
      <c r="V6" s="28" t="n"/>
      <c r="W6" s="21" t="inlineStr"/>
      <c r="Y6" s="29" t="inlineStr">
        <is>
          <t>🟣 Презентація</t>
        </is>
      </c>
      <c r="Z6" s="30">
        <f>COUNTIF(T$3:T$977,"🟣 Презентація")</f>
        <v/>
      </c>
    </row>
    <row r="7" ht="20" customHeight="1">
      <c r="A7" s="9" t="n">
        <v>5</v>
      </c>
      <c r="B7" s="10" t="inlineStr">
        <is>
          <t>Coffee Power</t>
        </is>
      </c>
      <c r="C7" s="10" t="inlineStr">
        <is>
          <t>Львів</t>
        </is>
      </c>
      <c r="D7" s="11" t="inlineStr"/>
      <c r="E7" s="11" t="inlineStr"/>
      <c r="F7" s="12" t="inlineStr">
        <is>
          <t>https://www.instagram.com/coffeepower__/</t>
        </is>
      </c>
      <c r="G7" s="13" t="inlineStr">
        <is>
          <t>📍</t>
        </is>
      </c>
      <c r="H7" s="11" t="inlineStr"/>
      <c r="I7" s="11" t="inlineStr"/>
      <c r="J7" s="14" t="inlineStr">
        <is>
          <t>🌐 Є сайт</t>
        </is>
      </c>
      <c r="K7" s="15" t="inlineStr">
        <is>
          <t>✅</t>
        </is>
      </c>
      <c r="L7" s="16" t="inlineStr">
        <is>
          <t>❌</t>
        </is>
      </c>
      <c r="M7" s="17" t="inlineStr">
        <is>
          <t>🟡 B</t>
        </is>
      </c>
      <c r="N7" s="10" t="inlineStr"/>
      <c r="O7" s="10" t="inlineStr"/>
      <c r="P7" s="11" t="inlineStr"/>
      <c r="Q7" s="11" t="inlineStr"/>
      <c r="R7" s="18" t="n"/>
      <c r="S7" s="11" t="inlineStr"/>
      <c r="T7" s="19" t="inlineStr">
        <is>
          <t>🟡 Новий</t>
        </is>
      </c>
      <c r="U7" s="10" t="inlineStr"/>
      <c r="V7" s="18" t="n"/>
      <c r="W7" s="10" t="inlineStr"/>
      <c r="Y7" s="29" t="inlineStr">
        <is>
          <t>🟠 Думає</t>
        </is>
      </c>
      <c r="Z7" s="30">
        <f>COUNTIF(T$3:T$977,"🟠 Думає")</f>
        <v/>
      </c>
    </row>
    <row r="8" ht="20" customHeight="1">
      <c r="A8" s="20" t="n">
        <v>6</v>
      </c>
      <c r="B8" s="21" t="inlineStr">
        <is>
          <t>Jam Cafe</t>
        </is>
      </c>
      <c r="C8" s="21" t="inlineStr">
        <is>
          <t>Львів</t>
        </is>
      </c>
      <c r="D8" s="22" t="inlineStr">
        <is>
          <t>+380678652323</t>
        </is>
      </c>
      <c r="E8" s="23" t="inlineStr"/>
      <c r="F8" s="24" t="inlineStr">
        <is>
          <t>inst: @jam.cafe_lv</t>
        </is>
      </c>
      <c r="G8" s="25" t="inlineStr">
        <is>
          <t>📍</t>
        </is>
      </c>
      <c r="H8" s="23" t="inlineStr"/>
      <c r="I8" s="23" t="inlineStr"/>
      <c r="J8" s="14" t="inlineStr">
        <is>
          <t>🌐 Є сайт</t>
        </is>
      </c>
      <c r="K8" s="26" t="inlineStr">
        <is>
          <t>✅</t>
        </is>
      </c>
      <c r="L8" s="27" t="inlineStr">
        <is>
          <t>❌</t>
        </is>
      </c>
      <c r="M8" s="17" t="inlineStr">
        <is>
          <t>🟡 B</t>
        </is>
      </c>
      <c r="N8" s="21" t="inlineStr"/>
      <c r="O8" s="21" t="inlineStr"/>
      <c r="P8" s="23" t="inlineStr"/>
      <c r="Q8" s="23" t="inlineStr"/>
      <c r="R8" s="28" t="n"/>
      <c r="S8" s="23" t="inlineStr"/>
      <c r="T8" s="19" t="inlineStr">
        <is>
          <t>🟡 Новий</t>
        </is>
      </c>
      <c r="U8" s="21" t="inlineStr"/>
      <c r="V8" s="28" t="n"/>
      <c r="W8" s="21" t="inlineStr"/>
      <c r="Y8" s="29" t="inlineStr">
        <is>
          <t>🟢 Продано</t>
        </is>
      </c>
      <c r="Z8" s="30">
        <f>COUNTIF(T$3:T$977,"🟢 Продано")</f>
        <v/>
      </c>
    </row>
    <row r="9" ht="20" customHeight="1">
      <c r="A9" s="9" t="n">
        <v>7</v>
      </c>
      <c r="B9" s="10" t="inlineStr">
        <is>
          <t>KREDENS</t>
        </is>
      </c>
      <c r="C9" s="10" t="inlineStr">
        <is>
          <t>Львів</t>
        </is>
      </c>
      <c r="D9" s="11" t="inlineStr"/>
      <c r="E9" s="11" t="inlineStr"/>
      <c r="F9" s="12" t="inlineStr">
        <is>
          <t>https://www.kredens.com.ua</t>
        </is>
      </c>
      <c r="G9" s="13" t="inlineStr">
        <is>
          <t>📍</t>
        </is>
      </c>
      <c r="H9" s="11" t="inlineStr"/>
      <c r="I9" s="11" t="inlineStr"/>
      <c r="J9" s="14" t="inlineStr">
        <is>
          <t>🌐 Є сайт</t>
        </is>
      </c>
      <c r="K9" s="15" t="inlineStr">
        <is>
          <t>✅</t>
        </is>
      </c>
      <c r="L9" s="16" t="inlineStr">
        <is>
          <t>❌</t>
        </is>
      </c>
      <c r="M9" s="17" t="inlineStr">
        <is>
          <t>🟡 B</t>
        </is>
      </c>
      <c r="N9" s="10" t="inlineStr"/>
      <c r="O9" s="10" t="inlineStr"/>
      <c r="P9" s="11" t="inlineStr"/>
      <c r="Q9" s="11" t="inlineStr"/>
      <c r="R9" s="18" t="n"/>
      <c r="S9" s="11" t="inlineStr"/>
      <c r="T9" s="19" t="inlineStr">
        <is>
          <t>🟡 Новий</t>
        </is>
      </c>
      <c r="U9" s="10" t="inlineStr"/>
      <c r="V9" s="18" t="n"/>
      <c r="W9" s="10" t="inlineStr"/>
      <c r="Y9" s="29" t="inlineStr">
        <is>
          <t>🔴 Відмовився</t>
        </is>
      </c>
      <c r="Z9" s="30">
        <f>COUNTIF(T$3:T$977,"🔴 Відмовився")</f>
        <v/>
      </c>
    </row>
    <row r="10" ht="20" customHeight="1">
      <c r="A10" s="20" t="n">
        <v>8</v>
      </c>
      <c r="B10" s="21" t="inlineStr">
        <is>
          <t>Kredens Cafe</t>
        </is>
      </c>
      <c r="C10" s="21" t="inlineStr">
        <is>
          <t>Львів</t>
        </is>
      </c>
      <c r="D10" s="23" t="inlineStr"/>
      <c r="E10" s="31" t="inlineStr">
        <is>
          <t>@kredenscafe</t>
        </is>
      </c>
      <c r="F10" s="24" t="inlineStr">
        <is>
          <t>https://www.kredens.com.ua/</t>
        </is>
      </c>
      <c r="G10" s="25" t="inlineStr">
        <is>
          <t>📍</t>
        </is>
      </c>
      <c r="H10" s="23" t="inlineStr"/>
      <c r="I10" s="23" t="inlineStr"/>
      <c r="J10" s="14" t="inlineStr">
        <is>
          <t>🌐 Є сайт</t>
        </is>
      </c>
      <c r="K10" s="26" t="inlineStr">
        <is>
          <t>✅</t>
        </is>
      </c>
      <c r="L10" s="32" t="inlineStr">
        <is>
          <t>✅</t>
        </is>
      </c>
      <c r="M10" s="17" t="inlineStr">
        <is>
          <t>🟡 B</t>
        </is>
      </c>
      <c r="N10" s="21" t="inlineStr"/>
      <c r="O10" s="21" t="inlineStr"/>
      <c r="P10" s="23" t="inlineStr"/>
      <c r="Q10" s="23" t="inlineStr"/>
      <c r="R10" s="28" t="n"/>
      <c r="S10" s="23" t="inlineStr"/>
      <c r="T10" s="19" t="inlineStr">
        <is>
          <t>🟡 Новий</t>
        </is>
      </c>
      <c r="U10" s="21" t="inlineStr"/>
      <c r="V10" s="28" t="n"/>
      <c r="W10" s="21" t="inlineStr"/>
    </row>
    <row r="11" ht="20" customHeight="1">
      <c r="A11" s="9" t="n">
        <v>9</v>
      </c>
      <c r="B11" s="10" t="inlineStr">
        <is>
          <t>La П'єц -</t>
        </is>
      </c>
      <c r="C11" s="10" t="inlineStr">
        <is>
          <t>Львів</t>
        </is>
      </c>
      <c r="D11" s="33" t="inlineStr">
        <is>
          <t>+380 97 440 4060</t>
        </is>
      </c>
      <c r="E11" s="11" t="inlineStr"/>
      <c r="F11" s="12" t="inlineStr">
        <is>
          <t>http://pizza-lapiec.com.ua</t>
        </is>
      </c>
      <c r="G11" s="13" t="inlineStr">
        <is>
          <t>📍</t>
        </is>
      </c>
      <c r="H11" s="11" t="inlineStr"/>
      <c r="I11" s="11" t="inlineStr"/>
      <c r="J11" s="14" t="inlineStr">
        <is>
          <t>🌐 Є сайт</t>
        </is>
      </c>
      <c r="K11" s="15" t="inlineStr">
        <is>
          <t>✅</t>
        </is>
      </c>
      <c r="L11" s="16" t="inlineStr">
        <is>
          <t>❌</t>
        </is>
      </c>
      <c r="M11" s="17" t="inlineStr">
        <is>
          <t>🟡 B</t>
        </is>
      </c>
      <c r="N11" s="10" t="inlineStr"/>
      <c r="O11" s="10" t="inlineStr"/>
      <c r="P11" s="11" t="inlineStr"/>
      <c r="Q11" s="11" t="inlineStr"/>
      <c r="R11" s="18" t="n"/>
      <c r="S11" s="11" t="inlineStr"/>
      <c r="T11" s="19" t="inlineStr">
        <is>
          <t>🟡 Новий</t>
        </is>
      </c>
      <c r="U11" s="10" t="inlineStr"/>
      <c r="V11" s="18" t="n"/>
      <c r="W11" s="10" t="inlineStr"/>
    </row>
    <row r="12" ht="20" customHeight="1">
      <c r="A12" s="20" t="n">
        <v>10</v>
      </c>
      <c r="B12" s="21" t="inlineStr">
        <is>
          <t>La П'єц - піца на дровах</t>
        </is>
      </c>
      <c r="C12" s="21" t="inlineStr">
        <is>
          <t>Львів</t>
        </is>
      </c>
      <c r="D12" s="22" t="inlineStr">
        <is>
          <t>+380 97 440 4060</t>
        </is>
      </c>
      <c r="E12" s="23" t="inlineStr"/>
      <c r="F12" s="24" t="inlineStr">
        <is>
          <t>http://pizza-lapiec.com.ua</t>
        </is>
      </c>
      <c r="G12" s="25" t="inlineStr">
        <is>
          <t>📍</t>
        </is>
      </c>
      <c r="H12" s="23" t="inlineStr"/>
      <c r="I12" s="23" t="inlineStr"/>
      <c r="J12" s="14" t="inlineStr">
        <is>
          <t>🌐 Є сайт</t>
        </is>
      </c>
      <c r="K12" s="26" t="inlineStr">
        <is>
          <t>✅</t>
        </is>
      </c>
      <c r="L12" s="27" t="inlineStr">
        <is>
          <t>❌</t>
        </is>
      </c>
      <c r="M12" s="17" t="inlineStr">
        <is>
          <t>🟡 B</t>
        </is>
      </c>
      <c r="N12" s="21" t="inlineStr"/>
      <c r="O12" s="21" t="inlineStr"/>
      <c r="P12" s="23" t="inlineStr"/>
      <c r="Q12" s="23" t="inlineStr"/>
      <c r="R12" s="28" t="n"/>
      <c r="S12" s="23" t="inlineStr"/>
      <c r="T12" s="19" t="inlineStr">
        <is>
          <t>🟡 Новий</t>
        </is>
      </c>
      <c r="U12" s="21" t="inlineStr"/>
      <c r="V12" s="28" t="n"/>
      <c r="W12" s="21" t="inlineStr"/>
    </row>
    <row r="13" ht="20" customHeight="1">
      <c r="A13" s="9" t="n">
        <v>11</v>
      </c>
      <c r="B13" s="10" t="inlineStr">
        <is>
          <t>Le Petit Café Lviv</t>
        </is>
      </c>
      <c r="C13" s="10" t="inlineStr">
        <is>
          <t>вул. Катедральна площа, 5, Львів</t>
        </is>
      </c>
      <c r="D13" s="33" t="inlineStr">
        <is>
          <t>+380675331513</t>
        </is>
      </c>
      <c r="E13" s="11" t="inlineStr"/>
      <c r="F13" s="12" t="inlineStr">
        <is>
          <t>http://bit.ly/LePetitCaf%C3%A9Lviv-Menu</t>
        </is>
      </c>
      <c r="G13" s="13" t="inlineStr">
        <is>
          <t>📍</t>
        </is>
      </c>
      <c r="H13" s="11" t="inlineStr"/>
      <c r="I13" s="11" t="inlineStr"/>
      <c r="J13" s="14" t="inlineStr">
        <is>
          <t>🌐 Є сайт</t>
        </is>
      </c>
      <c r="K13" s="15" t="inlineStr">
        <is>
          <t>✅</t>
        </is>
      </c>
      <c r="L13" s="16" t="inlineStr">
        <is>
          <t>❌</t>
        </is>
      </c>
      <c r="M13" s="17" t="inlineStr">
        <is>
          <t>🟡 B</t>
        </is>
      </c>
      <c r="N13" s="10" t="inlineStr"/>
      <c r="O13" s="10" t="inlineStr"/>
      <c r="P13" s="11" t="inlineStr"/>
      <c r="Q13" s="11" t="inlineStr"/>
      <c r="R13" s="18" t="n"/>
      <c r="S13" s="11" t="inlineStr"/>
      <c r="T13" s="19" t="inlineStr">
        <is>
          <t>🟡 Новий</t>
        </is>
      </c>
      <c r="U13" s="10" t="inlineStr"/>
      <c r="V13" s="18" t="n"/>
      <c r="W13" s="10" t="inlineStr"/>
    </row>
    <row r="14" ht="20" customHeight="1">
      <c r="A14" s="20" t="n">
        <v>12</v>
      </c>
      <c r="B14" s="21" t="inlineStr">
        <is>
          <t>Libraria</t>
        </is>
      </c>
      <c r="C14" s="21" t="inlineStr">
        <is>
          <t>вул. вулиця Лесі Українки, 14, Львів</t>
        </is>
      </c>
      <c r="D14" s="22" t="inlineStr">
        <is>
          <t>+380 67 726 4924</t>
        </is>
      </c>
      <c r="E14" s="23" t="inlineStr"/>
      <c r="F14" s="24" t="inlineStr">
        <is>
          <t>https://libraria.com.ua/</t>
        </is>
      </c>
      <c r="G14" s="25" t="inlineStr">
        <is>
          <t>📍</t>
        </is>
      </c>
      <c r="H14" s="23" t="inlineStr"/>
      <c r="I14" s="23" t="inlineStr"/>
      <c r="J14" s="14" t="inlineStr">
        <is>
          <t>🌐 Є сайт</t>
        </is>
      </c>
      <c r="K14" s="26" t="inlineStr">
        <is>
          <t>✅</t>
        </is>
      </c>
      <c r="L14" s="27" t="inlineStr">
        <is>
          <t>❌</t>
        </is>
      </c>
      <c r="M14" s="17" t="inlineStr">
        <is>
          <t>🟡 B</t>
        </is>
      </c>
      <c r="N14" s="21" t="inlineStr"/>
      <c r="O14" s="21" t="inlineStr"/>
      <c r="P14" s="23" t="inlineStr"/>
      <c r="Q14" s="23" t="inlineStr"/>
      <c r="R14" s="28" t="n"/>
      <c r="S14" s="23" t="inlineStr"/>
      <c r="T14" s="19" t="inlineStr">
        <is>
          <t>🟡 Новий</t>
        </is>
      </c>
      <c r="U14" s="21" t="inlineStr"/>
      <c r="V14" s="28" t="n"/>
      <c r="W14" s="21" t="inlineStr"/>
    </row>
    <row r="15" ht="20" customHeight="1">
      <c r="A15" s="9" t="n">
        <v>13</v>
      </c>
      <c r="B15" s="10" t="inlineStr">
        <is>
          <t>Locals b&amp;bistro</t>
        </is>
      </c>
      <c r="C15" s="10" t="inlineStr">
        <is>
          <t>вул. вулиця Тараса Шевченка, 21, Львів</t>
        </is>
      </c>
      <c r="D15" s="33" t="inlineStr">
        <is>
          <t>0970744686</t>
        </is>
      </c>
      <c r="E15" s="11" t="inlineStr"/>
      <c r="F15" s="12" t="inlineStr">
        <is>
          <t>https://www.instagram.com/locals_bistro?igsh=MW12c3EzOGxoOXZ1ag==</t>
        </is>
      </c>
      <c r="G15" s="13" t="inlineStr">
        <is>
          <t>📍</t>
        </is>
      </c>
      <c r="H15" s="11" t="inlineStr"/>
      <c r="I15" s="11" t="inlineStr"/>
      <c r="J15" s="14" t="inlineStr">
        <is>
          <t>🌐 Є сайт</t>
        </is>
      </c>
      <c r="K15" s="15" t="inlineStr">
        <is>
          <t>✅</t>
        </is>
      </c>
      <c r="L15" s="16" t="inlineStr">
        <is>
          <t>❌</t>
        </is>
      </c>
      <c r="M15" s="17" t="inlineStr">
        <is>
          <t>🟡 B</t>
        </is>
      </c>
      <c r="N15" s="10" t="inlineStr"/>
      <c r="O15" s="10" t="inlineStr"/>
      <c r="P15" s="11" t="inlineStr"/>
      <c r="Q15" s="11" t="inlineStr"/>
      <c r="R15" s="18" t="n"/>
      <c r="S15" s="11" t="inlineStr"/>
      <c r="T15" s="19" t="inlineStr">
        <is>
          <t>🟡 Новий</t>
        </is>
      </c>
      <c r="U15" s="10" t="inlineStr"/>
      <c r="V15" s="18" t="n"/>
      <c r="W15" s="10" t="inlineStr"/>
    </row>
    <row r="16" ht="20" customHeight="1">
      <c r="A16" s="20" t="n">
        <v>14</v>
      </c>
      <c r="B16" s="21" t="inlineStr">
        <is>
          <t>Lviv Croissants</t>
        </is>
      </c>
      <c r="C16" s="21" t="inlineStr">
        <is>
          <t>Львів</t>
        </is>
      </c>
      <c r="D16" s="22" t="inlineStr">
        <is>
          <t>+380 67 875 3506</t>
        </is>
      </c>
      <c r="E16" s="31" t="inlineStr">
        <is>
          <t>@LvivCroissants</t>
        </is>
      </c>
      <c r="F16" s="24" t="inlineStr">
        <is>
          <t>https://www.lviv-croissants.com/</t>
        </is>
      </c>
      <c r="G16" s="25" t="inlineStr">
        <is>
          <t>📍</t>
        </is>
      </c>
      <c r="H16" s="23" t="inlineStr"/>
      <c r="I16" s="23" t="inlineStr"/>
      <c r="J16" s="14" t="inlineStr">
        <is>
          <t>🌐 Є сайт</t>
        </is>
      </c>
      <c r="K16" s="26" t="inlineStr">
        <is>
          <t>✅</t>
        </is>
      </c>
      <c r="L16" s="32" t="inlineStr">
        <is>
          <t>✅</t>
        </is>
      </c>
      <c r="M16" s="17" t="inlineStr">
        <is>
          <t>🟡 B</t>
        </is>
      </c>
      <c r="N16" s="21" t="inlineStr"/>
      <c r="O16" s="21" t="inlineStr"/>
      <c r="P16" s="23" t="inlineStr"/>
      <c r="Q16" s="23" t="inlineStr"/>
      <c r="R16" s="28" t="n"/>
      <c r="S16" s="23" t="inlineStr"/>
      <c r="T16" s="19" t="inlineStr">
        <is>
          <t>🟡 Новий</t>
        </is>
      </c>
      <c r="U16" s="21" t="inlineStr"/>
      <c r="V16" s="28" t="n"/>
      <c r="W16" s="21" t="inlineStr"/>
    </row>
    <row r="17" ht="20" customHeight="1">
      <c r="A17" s="9" t="n">
        <v>15</v>
      </c>
      <c r="B17" s="10" t="inlineStr">
        <is>
          <t>MA Pizza</t>
        </is>
      </c>
      <c r="C17" s="10" t="inlineStr">
        <is>
          <t>вул. Китайська вулиця, 10, Львів</t>
        </is>
      </c>
      <c r="D17" s="33" t="inlineStr">
        <is>
          <t>+38 097 18 306 18</t>
        </is>
      </c>
      <c r="E17" s="11" t="inlineStr"/>
      <c r="F17" s="12" t="inlineStr">
        <is>
          <t>https://mapizza.com.ua/</t>
        </is>
      </c>
      <c r="G17" s="13" t="inlineStr">
        <is>
          <t>📍</t>
        </is>
      </c>
      <c r="H17" s="11" t="inlineStr"/>
      <c r="I17" s="11" t="inlineStr"/>
      <c r="J17" s="14" t="inlineStr">
        <is>
          <t>🌐 Є сайт</t>
        </is>
      </c>
      <c r="K17" s="15" t="inlineStr">
        <is>
          <t>✅</t>
        </is>
      </c>
      <c r="L17" s="16" t="inlineStr">
        <is>
          <t>❌</t>
        </is>
      </c>
      <c r="M17" s="17" t="inlineStr">
        <is>
          <t>🟡 B</t>
        </is>
      </c>
      <c r="N17" s="10" t="inlineStr"/>
      <c r="O17" s="10" t="inlineStr"/>
      <c r="P17" s="11" t="inlineStr"/>
      <c r="Q17" s="11" t="inlineStr"/>
      <c r="R17" s="18" t="n"/>
      <c r="S17" s="11" t="inlineStr"/>
      <c r="T17" s="19" t="inlineStr">
        <is>
          <t>🟡 Новий</t>
        </is>
      </c>
      <c r="U17" s="10" t="inlineStr"/>
      <c r="V17" s="18" t="n"/>
      <c r="W17" s="10" t="inlineStr"/>
    </row>
    <row r="18" ht="20" customHeight="1">
      <c r="A18" s="20" t="n">
        <v>16</v>
      </c>
      <c r="B18" s="21" t="inlineStr">
        <is>
          <t>My Kava</t>
        </is>
      </c>
      <c r="C18" s="21" t="inlineStr">
        <is>
          <t>вул. Пекарська вулиця, 26, Львів</t>
        </is>
      </c>
      <c r="D18" s="22" t="inlineStr">
        <is>
          <t>+380686931842</t>
        </is>
      </c>
      <c r="E18" s="23" t="inlineStr"/>
      <c r="F18" s="24" t="inlineStr">
        <is>
          <t>https://mykava.ua/</t>
        </is>
      </c>
      <c r="G18" s="25" t="inlineStr">
        <is>
          <t>📍</t>
        </is>
      </c>
      <c r="H18" s="23" t="inlineStr"/>
      <c r="I18" s="23" t="inlineStr"/>
      <c r="J18" s="14" t="inlineStr">
        <is>
          <t>🌐 Є сайт</t>
        </is>
      </c>
      <c r="K18" s="26" t="inlineStr">
        <is>
          <t>✅</t>
        </is>
      </c>
      <c r="L18" s="27" t="inlineStr">
        <is>
          <t>❌</t>
        </is>
      </c>
      <c r="M18" s="17" t="inlineStr">
        <is>
          <t>🟡 B</t>
        </is>
      </c>
      <c r="N18" s="21" t="inlineStr"/>
      <c r="O18" s="21" t="inlineStr"/>
      <c r="P18" s="23" t="inlineStr"/>
      <c r="Q18" s="23" t="inlineStr"/>
      <c r="R18" s="28" t="n"/>
      <c r="S18" s="23" t="inlineStr"/>
      <c r="T18" s="19" t="inlineStr">
        <is>
          <t>🟡 Новий</t>
        </is>
      </c>
      <c r="U18" s="21" t="inlineStr"/>
      <c r="V18" s="28" t="n"/>
      <c r="W18" s="21" t="inlineStr"/>
    </row>
    <row r="19" ht="20" customHeight="1">
      <c r="A19" s="9" t="n">
        <v>17</v>
      </c>
      <c r="B19" s="10" t="inlineStr">
        <is>
          <t>People Place Bar</t>
        </is>
      </c>
      <c r="C19" s="10" t="inlineStr">
        <is>
          <t>вул. Катедральна площа, 6, Львів</t>
        </is>
      </c>
      <c r="D19" s="33" t="inlineStr">
        <is>
          <t>+380322975674</t>
        </is>
      </c>
      <c r="E19" s="11" t="inlineStr"/>
      <c r="F19" s="12" t="inlineStr">
        <is>
          <t>https://peopleplacebar.choiceqr.com/a/QUYb-SDIt</t>
        </is>
      </c>
      <c r="G19" s="13" t="inlineStr">
        <is>
          <t>📍</t>
        </is>
      </c>
      <c r="H19" s="11" t="inlineStr"/>
      <c r="I19" s="11" t="inlineStr"/>
      <c r="J19" s="14" t="inlineStr">
        <is>
          <t>🌐 Є сайт</t>
        </is>
      </c>
      <c r="K19" s="15" t="inlineStr">
        <is>
          <t>✅</t>
        </is>
      </c>
      <c r="L19" s="16" t="inlineStr">
        <is>
          <t>❌</t>
        </is>
      </c>
      <c r="M19" s="17" t="inlineStr">
        <is>
          <t>🟡 B</t>
        </is>
      </c>
      <c r="N19" s="10" t="inlineStr"/>
      <c r="O19" s="10" t="inlineStr"/>
      <c r="P19" s="11" t="inlineStr"/>
      <c r="Q19" s="11" t="inlineStr"/>
      <c r="R19" s="18" t="n"/>
      <c r="S19" s="11" t="inlineStr"/>
      <c r="T19" s="19" t="inlineStr">
        <is>
          <t>🟡 Новий</t>
        </is>
      </c>
      <c r="U19" s="10" t="inlineStr"/>
      <c r="V19" s="18" t="n"/>
      <c r="W19" s="10" t="inlineStr"/>
    </row>
    <row r="20" ht="20" customHeight="1">
      <c r="A20" s="20" t="n">
        <v>18</v>
      </c>
      <c r="B20" s="21" t="inlineStr">
        <is>
          <t>Rockfellow</t>
        </is>
      </c>
      <c r="C20" s="21" t="inlineStr">
        <is>
          <t>Львів</t>
        </is>
      </c>
      <c r="D20" s="23" t="inlineStr"/>
      <c r="E20" s="23" t="inlineStr"/>
      <c r="F20" s="24" t="inlineStr">
        <is>
          <t>https://rockfellow.com.ua/</t>
        </is>
      </c>
      <c r="G20" s="25" t="inlineStr">
        <is>
          <t>📍</t>
        </is>
      </c>
      <c r="H20" s="23" t="inlineStr"/>
      <c r="I20" s="23" t="inlineStr"/>
      <c r="J20" s="14" t="inlineStr">
        <is>
          <t>🌐 Є сайт</t>
        </is>
      </c>
      <c r="K20" s="26" t="inlineStr">
        <is>
          <t>✅</t>
        </is>
      </c>
      <c r="L20" s="27" t="inlineStr">
        <is>
          <t>❌</t>
        </is>
      </c>
      <c r="M20" s="17" t="inlineStr">
        <is>
          <t>🟡 B</t>
        </is>
      </c>
      <c r="N20" s="21" t="inlineStr"/>
      <c r="O20" s="21" t="inlineStr"/>
      <c r="P20" s="23" t="inlineStr"/>
      <c r="Q20" s="23" t="inlineStr"/>
      <c r="R20" s="28" t="n"/>
      <c r="S20" s="23" t="inlineStr"/>
      <c r="T20" s="19" t="inlineStr">
        <is>
          <t>🟡 Новий</t>
        </is>
      </c>
      <c r="U20" s="21" t="inlineStr"/>
      <c r="V20" s="28" t="n"/>
      <c r="W20" s="21" t="inlineStr"/>
    </row>
    <row r="21" ht="20" customHeight="1">
      <c r="A21" s="9" t="n">
        <v>19</v>
      </c>
      <c r="B21" s="10" t="inlineStr">
        <is>
          <t>SHOco.</t>
        </is>
      </c>
      <c r="C21" s="10" t="inlineStr">
        <is>
          <t>Львів</t>
        </is>
      </c>
      <c r="D21" s="11" t="inlineStr"/>
      <c r="E21" s="11" t="inlineStr"/>
      <c r="F21" s="12" t="inlineStr">
        <is>
          <t>https://shoco-zwin.choiceqr.com/</t>
        </is>
      </c>
      <c r="G21" s="13" t="inlineStr">
        <is>
          <t>📍</t>
        </is>
      </c>
      <c r="H21" s="11" t="inlineStr"/>
      <c r="I21" s="11" t="inlineStr"/>
      <c r="J21" s="14" t="inlineStr">
        <is>
          <t>🌐 Є сайт</t>
        </is>
      </c>
      <c r="K21" s="15" t="inlineStr">
        <is>
          <t>✅</t>
        </is>
      </c>
      <c r="L21" s="16" t="inlineStr">
        <is>
          <t>❌</t>
        </is>
      </c>
      <c r="M21" s="17" t="inlineStr">
        <is>
          <t>🟡 B</t>
        </is>
      </c>
      <c r="N21" s="10" t="inlineStr"/>
      <c r="O21" s="10" t="inlineStr"/>
      <c r="P21" s="11" t="inlineStr"/>
      <c r="Q21" s="11" t="inlineStr"/>
      <c r="R21" s="18" t="n"/>
      <c r="S21" s="11" t="inlineStr"/>
      <c r="T21" s="19" t="inlineStr">
        <is>
          <t>🟡 Новий</t>
        </is>
      </c>
      <c r="U21" s="10" t="inlineStr"/>
      <c r="V21" s="18" t="n"/>
      <c r="W21" s="10" t="inlineStr"/>
    </row>
    <row r="22" ht="20" customHeight="1">
      <c r="A22" s="20" t="n">
        <v>20</v>
      </c>
      <c r="B22" s="21" t="inlineStr">
        <is>
          <t>Saturdays Coffee</t>
        </is>
      </c>
      <c r="C22" s="21" t="inlineStr">
        <is>
          <t>Львів</t>
        </is>
      </c>
      <c r="D22" s="23" t="inlineStr"/>
      <c r="E22" s="23" t="inlineStr"/>
      <c r="F22" s="24" t="inlineStr">
        <is>
          <t>https://www.instagram.com/saturdayscoffeelviv</t>
        </is>
      </c>
      <c r="G22" s="25" t="inlineStr">
        <is>
          <t>📍</t>
        </is>
      </c>
      <c r="H22" s="23" t="inlineStr"/>
      <c r="I22" s="23" t="inlineStr"/>
      <c r="J22" s="14" t="inlineStr">
        <is>
          <t>🌐 Є сайт</t>
        </is>
      </c>
      <c r="K22" s="26" t="inlineStr">
        <is>
          <t>✅</t>
        </is>
      </c>
      <c r="L22" s="27" t="inlineStr">
        <is>
          <t>❌</t>
        </is>
      </c>
      <c r="M22" s="17" t="inlineStr">
        <is>
          <t>🟡 B</t>
        </is>
      </c>
      <c r="N22" s="21" t="inlineStr"/>
      <c r="O22" s="21" t="inlineStr"/>
      <c r="P22" s="23" t="inlineStr"/>
      <c r="Q22" s="23" t="inlineStr"/>
      <c r="R22" s="28" t="n"/>
      <c r="S22" s="23" t="inlineStr"/>
      <c r="T22" s="19" t="inlineStr">
        <is>
          <t>🟡 Новий</t>
        </is>
      </c>
      <c r="U22" s="21" t="inlineStr"/>
      <c r="V22" s="28" t="n"/>
      <c r="W22" s="21" t="inlineStr"/>
    </row>
    <row r="23" ht="20" customHeight="1">
      <c r="A23" s="9" t="n">
        <v>21</v>
      </c>
      <c r="B23" s="10" t="inlineStr">
        <is>
          <t>Sowá Cafe</t>
        </is>
      </c>
      <c r="C23" s="10" t="inlineStr">
        <is>
          <t>Львів</t>
        </is>
      </c>
      <c r="D23" s="33" t="inlineStr">
        <is>
          <t>+380 98 634 9046</t>
        </is>
      </c>
      <c r="E23" s="11" t="inlineStr"/>
      <c r="F23" s="12" t="inlineStr">
        <is>
          <t>https://www.facebook.com/sowalviv</t>
        </is>
      </c>
      <c r="G23" s="13" t="inlineStr">
        <is>
          <t>📍</t>
        </is>
      </c>
      <c r="H23" s="11" t="inlineStr"/>
      <c r="I23" s="11" t="inlineStr"/>
      <c r="J23" s="14" t="inlineStr">
        <is>
          <t>🌐 Є сайт</t>
        </is>
      </c>
      <c r="K23" s="15" t="inlineStr">
        <is>
          <t>✅</t>
        </is>
      </c>
      <c r="L23" s="16" t="inlineStr">
        <is>
          <t>❌</t>
        </is>
      </c>
      <c r="M23" s="17" t="inlineStr">
        <is>
          <t>🟡 B</t>
        </is>
      </c>
      <c r="N23" s="10" t="inlineStr"/>
      <c r="O23" s="10" t="inlineStr"/>
      <c r="P23" s="11" t="inlineStr"/>
      <c r="Q23" s="11" t="inlineStr"/>
      <c r="R23" s="18" t="n"/>
      <c r="S23" s="11" t="inlineStr"/>
      <c r="T23" s="19" t="inlineStr">
        <is>
          <t>🟡 Новий</t>
        </is>
      </c>
      <c r="U23" s="10" t="inlineStr"/>
      <c r="V23" s="18" t="n"/>
      <c r="W23" s="10" t="inlineStr"/>
    </row>
    <row r="24" ht="20" customHeight="1">
      <c r="A24" s="20" t="n">
        <v>22</v>
      </c>
      <c r="B24" s="21" t="inlineStr">
        <is>
          <t>Tea Room</t>
        </is>
      </c>
      <c r="C24" s="21" t="inlineStr">
        <is>
          <t>вул. Піша вулиця, 2, Львів</t>
        </is>
      </c>
      <c r="D24" s="23" t="inlineStr"/>
      <c r="E24" s="23" t="inlineStr"/>
      <c r="F24" s="24" t="inlineStr">
        <is>
          <t>https://instagram.com/tea_room_lviv?igshid=1jmkx12q4fs5w</t>
        </is>
      </c>
      <c r="G24" s="25" t="inlineStr">
        <is>
          <t>📍</t>
        </is>
      </c>
      <c r="H24" s="23" t="inlineStr"/>
      <c r="I24" s="23" t="inlineStr"/>
      <c r="J24" s="14" t="inlineStr">
        <is>
          <t>🌐 Є сайт</t>
        </is>
      </c>
      <c r="K24" s="26" t="inlineStr">
        <is>
          <t>✅</t>
        </is>
      </c>
      <c r="L24" s="27" t="inlineStr">
        <is>
          <t>❌</t>
        </is>
      </c>
      <c r="M24" s="17" t="inlineStr">
        <is>
          <t>🟡 B</t>
        </is>
      </c>
      <c r="N24" s="21" t="inlineStr"/>
      <c r="O24" s="21" t="inlineStr"/>
      <c r="P24" s="23" t="inlineStr"/>
      <c r="Q24" s="23" t="inlineStr"/>
      <c r="R24" s="28" t="n"/>
      <c r="S24" s="23" t="inlineStr"/>
      <c r="T24" s="19" t="inlineStr">
        <is>
          <t>🟡 Новий</t>
        </is>
      </c>
      <c r="U24" s="21" t="inlineStr"/>
      <c r="V24" s="28" t="n"/>
      <c r="W24" s="21" t="inlineStr"/>
    </row>
    <row r="25" ht="20" customHeight="1">
      <c r="A25" s="9" t="n">
        <v>23</v>
      </c>
      <c r="B25" s="10" t="inlineStr">
        <is>
          <t>The Wave Project</t>
        </is>
      </c>
      <c r="C25" s="10" t="inlineStr">
        <is>
          <t>Львів</t>
        </is>
      </c>
      <c r="D25" s="11" t="inlineStr"/>
      <c r="E25" s="11" t="inlineStr"/>
      <c r="F25" s="12" t="inlineStr">
        <is>
          <t>https://instagram.com/thewaveproject.ua?utm_medium=copy_link</t>
        </is>
      </c>
      <c r="G25" s="13" t="inlineStr">
        <is>
          <t>📍</t>
        </is>
      </c>
      <c r="H25" s="11" t="inlineStr"/>
      <c r="I25" s="11" t="inlineStr"/>
      <c r="J25" s="14" t="inlineStr">
        <is>
          <t>🌐 Є сайт</t>
        </is>
      </c>
      <c r="K25" s="15" t="inlineStr">
        <is>
          <t>✅</t>
        </is>
      </c>
      <c r="L25" s="16" t="inlineStr">
        <is>
          <t>❌</t>
        </is>
      </c>
      <c r="M25" s="17" t="inlineStr">
        <is>
          <t>🟡 B</t>
        </is>
      </c>
      <c r="N25" s="10" t="inlineStr"/>
      <c r="O25" s="10" t="inlineStr"/>
      <c r="P25" s="11" t="inlineStr"/>
      <c r="Q25" s="11" t="inlineStr"/>
      <c r="R25" s="18" t="n"/>
      <c r="S25" s="11" t="inlineStr"/>
      <c r="T25" s="19" t="inlineStr">
        <is>
          <t>🟡 Новий</t>
        </is>
      </c>
      <c r="U25" s="10" t="inlineStr"/>
      <c r="V25" s="18" t="n"/>
      <c r="W25" s="10" t="inlineStr"/>
    </row>
    <row r="26" ht="20" customHeight="1">
      <c r="A26" s="20" t="n">
        <v>24</v>
      </c>
      <c r="B26" s="21" t="inlineStr">
        <is>
          <t>Totem Cafe</t>
        </is>
      </c>
      <c r="C26" s="21" t="inlineStr">
        <is>
          <t>Львів</t>
        </is>
      </c>
      <c r="D26" s="22" t="inlineStr">
        <is>
          <t>+380 97 034 8280</t>
        </is>
      </c>
      <c r="E26" s="23" t="inlineStr"/>
      <c r="F26" s="24" t="inlineStr">
        <is>
          <t>https://totem-cafe-cafe.business.site/</t>
        </is>
      </c>
      <c r="G26" s="25" t="inlineStr">
        <is>
          <t>📍</t>
        </is>
      </c>
      <c r="H26" s="23" t="inlineStr"/>
      <c r="I26" s="23" t="inlineStr"/>
      <c r="J26" s="14" t="inlineStr">
        <is>
          <t>🌐 Є сайт</t>
        </is>
      </c>
      <c r="K26" s="26" t="inlineStr">
        <is>
          <t>✅</t>
        </is>
      </c>
      <c r="L26" s="27" t="inlineStr">
        <is>
          <t>❌</t>
        </is>
      </c>
      <c r="M26" s="17" t="inlineStr">
        <is>
          <t>🟡 B</t>
        </is>
      </c>
      <c r="N26" s="21" t="inlineStr"/>
      <c r="O26" s="21" t="inlineStr"/>
      <c r="P26" s="23" t="inlineStr"/>
      <c r="Q26" s="23" t="inlineStr"/>
      <c r="R26" s="28" t="n"/>
      <c r="S26" s="23" t="inlineStr"/>
      <c r="T26" s="19" t="inlineStr">
        <is>
          <t>🟡 Новий</t>
        </is>
      </c>
      <c r="U26" s="21" t="inlineStr"/>
      <c r="V26" s="28" t="n"/>
      <c r="W26" s="21" t="inlineStr"/>
    </row>
    <row r="27" ht="20" customHeight="1">
      <c r="A27" s="9" t="n">
        <v>25</v>
      </c>
      <c r="B27" s="10" t="inlineStr">
        <is>
          <t>Інтемпо</t>
        </is>
      </c>
      <c r="C27" s="10" t="inlineStr">
        <is>
          <t>вул. Городоцька вулиця, 110, Львів</t>
        </is>
      </c>
      <c r="D27" s="11" t="inlineStr"/>
      <c r="E27" s="11" t="inlineStr"/>
      <c r="F27" s="12" t="inlineStr">
        <is>
          <t>https://sezony.com.ua/</t>
        </is>
      </c>
      <c r="G27" s="13" t="inlineStr">
        <is>
          <t>📍</t>
        </is>
      </c>
      <c r="H27" s="11" t="inlineStr"/>
      <c r="I27" s="11" t="inlineStr"/>
      <c r="J27" s="14" t="inlineStr">
        <is>
          <t>🌐 Є сайт</t>
        </is>
      </c>
      <c r="K27" s="15" t="inlineStr">
        <is>
          <t>✅</t>
        </is>
      </c>
      <c r="L27" s="16" t="inlineStr">
        <is>
          <t>❌</t>
        </is>
      </c>
      <c r="M27" s="17" t="inlineStr">
        <is>
          <t>🟡 B</t>
        </is>
      </c>
      <c r="N27" s="10" t="inlineStr"/>
      <c r="O27" s="10" t="inlineStr"/>
      <c r="P27" s="11" t="inlineStr"/>
      <c r="Q27" s="11" t="inlineStr"/>
      <c r="R27" s="18" t="n"/>
      <c r="S27" s="11" t="inlineStr"/>
      <c r="T27" s="19" t="inlineStr">
        <is>
          <t>🟡 Новий</t>
        </is>
      </c>
      <c r="U27" s="10" t="inlineStr"/>
      <c r="V27" s="18" t="n"/>
      <c r="W27" s="10" t="inlineStr"/>
    </row>
    <row r="28" ht="20" customHeight="1">
      <c r="A28" s="20" t="n">
        <v>26</v>
      </c>
      <c r="B28" s="21" t="inlineStr">
        <is>
          <t>Інші</t>
        </is>
      </c>
      <c r="C28" s="21" t="inlineStr">
        <is>
          <t>Львів</t>
        </is>
      </c>
      <c r="D28" s="22" t="inlineStr">
        <is>
          <t>+380683023042</t>
        </is>
      </c>
      <c r="E28" s="23" t="inlineStr"/>
      <c r="F28" s="24" t="inlineStr">
        <is>
          <t>https://expz.menu/a66dff7e-d106-4c62-970a-4ce7fe12d1ec</t>
        </is>
      </c>
      <c r="G28" s="25" t="inlineStr">
        <is>
          <t>📍</t>
        </is>
      </c>
      <c r="H28" s="23" t="inlineStr"/>
      <c r="I28" s="23" t="inlineStr"/>
      <c r="J28" s="14" t="inlineStr">
        <is>
          <t>🌐 Є сайт</t>
        </is>
      </c>
      <c r="K28" s="26" t="inlineStr">
        <is>
          <t>✅</t>
        </is>
      </c>
      <c r="L28" s="27" t="inlineStr">
        <is>
          <t>❌</t>
        </is>
      </c>
      <c r="M28" s="17" t="inlineStr">
        <is>
          <t>🟡 B</t>
        </is>
      </c>
      <c r="N28" s="21" t="inlineStr"/>
      <c r="O28" s="21" t="inlineStr"/>
      <c r="P28" s="23" t="inlineStr"/>
      <c r="Q28" s="23" t="inlineStr"/>
      <c r="R28" s="28" t="n"/>
      <c r="S28" s="23" t="inlineStr"/>
      <c r="T28" s="19" t="inlineStr">
        <is>
          <t>🟡 Новий</t>
        </is>
      </c>
      <c r="U28" s="21" t="inlineStr"/>
      <c r="V28" s="28" t="n"/>
      <c r="W28" s="21" t="inlineStr"/>
    </row>
    <row r="29" ht="20" customHeight="1">
      <c r="A29" s="9" t="n">
        <v>27</v>
      </c>
      <c r="B29" s="10" t="inlineStr">
        <is>
          <t>Або кава</t>
        </is>
      </c>
      <c r="C29" s="10" t="inlineStr">
        <is>
          <t>вул. Промислова вулиця, 27, Львів</t>
        </is>
      </c>
      <c r="D29" s="33" t="inlineStr">
        <is>
          <t>+380 68 526 5616</t>
        </is>
      </c>
      <c r="E29" s="34" t="inlineStr">
        <is>
          <t>@tsikava.foodandcoffee</t>
        </is>
      </c>
      <c r="F29" s="12" t="inlineStr">
        <is>
          <t>https://tsikava.com/</t>
        </is>
      </c>
      <c r="G29" s="13" t="inlineStr">
        <is>
          <t>📍</t>
        </is>
      </c>
      <c r="H29" s="11" t="inlineStr"/>
      <c r="I29" s="11" t="inlineStr"/>
      <c r="J29" s="14" t="inlineStr">
        <is>
          <t>🌐 Є сайт</t>
        </is>
      </c>
      <c r="K29" s="15" t="inlineStr">
        <is>
          <t>✅</t>
        </is>
      </c>
      <c r="L29" s="35" t="inlineStr">
        <is>
          <t>✅</t>
        </is>
      </c>
      <c r="M29" s="17" t="inlineStr">
        <is>
          <t>🟡 B</t>
        </is>
      </c>
      <c r="N29" s="10" t="inlineStr"/>
      <c r="O29" s="10" t="inlineStr"/>
      <c r="P29" s="11" t="inlineStr"/>
      <c r="Q29" s="11" t="inlineStr"/>
      <c r="R29" s="18" t="n"/>
      <c r="S29" s="11" t="inlineStr"/>
      <c r="T29" s="19" t="inlineStr">
        <is>
          <t>🟡 Новий</t>
        </is>
      </c>
      <c r="U29" s="10" t="inlineStr"/>
      <c r="V29" s="18" t="n"/>
      <c r="W29" s="10" t="inlineStr"/>
    </row>
    <row r="30" ht="20" customHeight="1">
      <c r="A30" s="20" t="n">
        <v>28</v>
      </c>
      <c r="B30" s="21" t="inlineStr">
        <is>
          <t>Альтернативна Кава</t>
        </is>
      </c>
      <c r="C30" s="21" t="inlineStr">
        <is>
          <t>Львів</t>
        </is>
      </c>
      <c r="D30" s="23" t="inlineStr"/>
      <c r="E30" s="31" t="inlineStr">
        <is>
          <t>@alterkava</t>
        </is>
      </c>
      <c r="F30" s="24" t="inlineStr">
        <is>
          <t>https://altkava.com.ua/</t>
        </is>
      </c>
      <c r="G30" s="25" t="inlineStr">
        <is>
          <t>📍</t>
        </is>
      </c>
      <c r="H30" s="23" t="inlineStr"/>
      <c r="I30" s="23" t="inlineStr"/>
      <c r="J30" s="14" t="inlineStr">
        <is>
          <t>🌐 Є сайт</t>
        </is>
      </c>
      <c r="K30" s="26" t="inlineStr">
        <is>
          <t>✅</t>
        </is>
      </c>
      <c r="L30" s="32" t="inlineStr">
        <is>
          <t>✅</t>
        </is>
      </c>
      <c r="M30" s="17" t="inlineStr">
        <is>
          <t>🟡 B</t>
        </is>
      </c>
      <c r="N30" s="21" t="inlineStr"/>
      <c r="O30" s="21" t="inlineStr"/>
      <c r="P30" s="23" t="inlineStr"/>
      <c r="Q30" s="23" t="inlineStr"/>
      <c r="R30" s="28" t="n"/>
      <c r="S30" s="23" t="inlineStr"/>
      <c r="T30" s="19" t="inlineStr">
        <is>
          <t>🟡 Новий</t>
        </is>
      </c>
      <c r="U30" s="21" t="inlineStr"/>
      <c r="V30" s="28" t="n"/>
      <c r="W30" s="21" t="inlineStr"/>
    </row>
    <row r="31" ht="20" customHeight="1">
      <c r="A31" s="9" t="n">
        <v>29</v>
      </c>
      <c r="B31" s="10" t="inlineStr">
        <is>
          <t>Антикафе "Come In"</t>
        </is>
      </c>
      <c r="C31" s="10" t="inlineStr">
        <is>
          <t>Львів</t>
        </is>
      </c>
      <c r="D31" s="33" t="inlineStr">
        <is>
          <t>+380 63 848 4891</t>
        </is>
      </c>
      <c r="E31" s="11" t="inlineStr"/>
      <c r="F31" s="12" t="inlineStr">
        <is>
          <t>https://comein.lviv.ua/</t>
        </is>
      </c>
      <c r="G31" s="13" t="inlineStr">
        <is>
          <t>📍</t>
        </is>
      </c>
      <c r="H31" s="11" t="inlineStr"/>
      <c r="I31" s="11" t="inlineStr"/>
      <c r="J31" s="14" t="inlineStr">
        <is>
          <t>🌐 Є сайт</t>
        </is>
      </c>
      <c r="K31" s="15" t="inlineStr">
        <is>
          <t>✅</t>
        </is>
      </c>
      <c r="L31" s="16" t="inlineStr">
        <is>
          <t>❌</t>
        </is>
      </c>
      <c r="M31" s="17" t="inlineStr">
        <is>
          <t>🟡 B</t>
        </is>
      </c>
      <c r="N31" s="10" t="inlineStr"/>
      <c r="O31" s="10" t="inlineStr"/>
      <c r="P31" s="11" t="inlineStr"/>
      <c r="Q31" s="11" t="inlineStr"/>
      <c r="R31" s="18" t="n"/>
      <c r="S31" s="11" t="inlineStr"/>
      <c r="T31" s="19" t="inlineStr">
        <is>
          <t>🟡 Новий</t>
        </is>
      </c>
      <c r="U31" s="10" t="inlineStr"/>
      <c r="V31" s="18" t="n"/>
      <c r="W31" s="10" t="inlineStr"/>
    </row>
    <row r="32" ht="20" customHeight="1">
      <c r="A32" s="20" t="n">
        <v>30</v>
      </c>
      <c r="B32" s="21" t="inlineStr">
        <is>
          <t>Бiла Кава</t>
        </is>
      </c>
      <c r="C32" s="21" t="inlineStr">
        <is>
          <t>вул. вулиця Івана Тиктора, 4, Львів</t>
        </is>
      </c>
      <c r="D32" s="22" t="inlineStr">
        <is>
          <t>+380 97 064 9676</t>
        </is>
      </c>
      <c r="E32" s="23" t="inlineStr"/>
      <c r="F32" s="24" t="inlineStr">
        <is>
          <t>https://www.bilakava.com/</t>
        </is>
      </c>
      <c r="G32" s="25" t="inlineStr">
        <is>
          <t>📍</t>
        </is>
      </c>
      <c r="H32" s="23" t="inlineStr"/>
      <c r="I32" s="23" t="inlineStr"/>
      <c r="J32" s="14" t="inlineStr">
        <is>
          <t>🌐 Є сайт</t>
        </is>
      </c>
      <c r="K32" s="26" t="inlineStr">
        <is>
          <t>✅</t>
        </is>
      </c>
      <c r="L32" s="27" t="inlineStr">
        <is>
          <t>❌</t>
        </is>
      </c>
      <c r="M32" s="17" t="inlineStr">
        <is>
          <t>🟡 B</t>
        </is>
      </c>
      <c r="N32" s="21" t="inlineStr"/>
      <c r="O32" s="21" t="inlineStr"/>
      <c r="P32" s="23" t="inlineStr"/>
      <c r="Q32" s="23" t="inlineStr"/>
      <c r="R32" s="28" t="n"/>
      <c r="S32" s="23" t="inlineStr"/>
      <c r="T32" s="19" t="inlineStr">
        <is>
          <t>🟡 Новий</t>
        </is>
      </c>
      <c r="U32" s="21" t="inlineStr"/>
      <c r="V32" s="28" t="n"/>
      <c r="W32" s="21" t="inlineStr"/>
    </row>
    <row r="33" ht="20" customHeight="1">
      <c r="A33" s="9" t="n">
        <v>31</v>
      </c>
      <c r="B33" s="10" t="inlineStr">
        <is>
          <t>Біля Діани на Ринку</t>
        </is>
      </c>
      <c r="C33" s="10" t="inlineStr">
        <is>
          <t>Львів</t>
        </is>
      </c>
      <c r="D33" s="33" t="inlineStr">
        <is>
          <t>+380 50 378 6038</t>
        </is>
      </c>
      <c r="E33" s="11" t="inlineStr"/>
      <c r="F33" s="12" t="inlineStr">
        <is>
          <t>http://www.fest.lviv.ua/uk/restaurants/diananarynku</t>
        </is>
      </c>
      <c r="G33" s="13" t="inlineStr">
        <is>
          <t>📍</t>
        </is>
      </c>
      <c r="H33" s="11" t="inlineStr"/>
      <c r="I33" s="11" t="inlineStr"/>
      <c r="J33" s="14" t="inlineStr">
        <is>
          <t>🌐 Є сайт</t>
        </is>
      </c>
      <c r="K33" s="15" t="inlineStr">
        <is>
          <t>✅</t>
        </is>
      </c>
      <c r="L33" s="16" t="inlineStr">
        <is>
          <t>❌</t>
        </is>
      </c>
      <c r="M33" s="17" t="inlineStr">
        <is>
          <t>🟡 B</t>
        </is>
      </c>
      <c r="N33" s="10" t="inlineStr"/>
      <c r="O33" s="10" t="inlineStr"/>
      <c r="P33" s="11" t="inlineStr"/>
      <c r="Q33" s="11" t="inlineStr"/>
      <c r="R33" s="18" t="n"/>
      <c r="S33" s="11" t="inlineStr"/>
      <c r="T33" s="19" t="inlineStr">
        <is>
          <t>🟡 Новий</t>
        </is>
      </c>
      <c r="U33" s="10" t="inlineStr"/>
      <c r="V33" s="18" t="n"/>
      <c r="W33" s="10" t="inlineStr"/>
    </row>
    <row r="34" ht="20" customHeight="1">
      <c r="A34" s="20" t="n">
        <v>32</v>
      </c>
      <c r="B34" s="21" t="inlineStr">
        <is>
          <t>Вишиванка</t>
        </is>
      </c>
      <c r="C34" s="21" t="inlineStr">
        <is>
          <t>Львів</t>
        </is>
      </c>
      <c r="D34" s="23" t="inlineStr"/>
      <c r="E34" s="23" t="inlineStr"/>
      <c r="F34" s="24" t="inlineStr">
        <is>
          <t>http://vyshyvanka.lviv.ua/</t>
        </is>
      </c>
      <c r="G34" s="25" t="inlineStr">
        <is>
          <t>📍</t>
        </is>
      </c>
      <c r="H34" s="23" t="inlineStr"/>
      <c r="I34" s="23" t="inlineStr"/>
      <c r="J34" s="14" t="inlineStr">
        <is>
          <t>🌐 Є сайт</t>
        </is>
      </c>
      <c r="K34" s="26" t="inlineStr">
        <is>
          <t>✅</t>
        </is>
      </c>
      <c r="L34" s="27" t="inlineStr">
        <is>
          <t>❌</t>
        </is>
      </c>
      <c r="M34" s="17" t="inlineStr">
        <is>
          <t>🟡 B</t>
        </is>
      </c>
      <c r="N34" s="21" t="inlineStr"/>
      <c r="O34" s="21" t="inlineStr"/>
      <c r="P34" s="23" t="inlineStr"/>
      <c r="Q34" s="23" t="inlineStr"/>
      <c r="R34" s="28" t="n"/>
      <c r="S34" s="23" t="inlineStr"/>
      <c r="T34" s="19" t="inlineStr">
        <is>
          <t>🟡 Новий</t>
        </is>
      </c>
      <c r="U34" s="21" t="inlineStr"/>
      <c r="V34" s="28" t="n"/>
      <c r="W34" s="21" t="inlineStr"/>
    </row>
    <row r="35" ht="20" customHeight="1">
      <c r="A35" s="9" t="n">
        <v>33</v>
      </c>
      <c r="B35" s="10" t="inlineStr">
        <is>
          <t>Вок Піца</t>
        </is>
      </c>
      <c r="C35" s="10" t="inlineStr">
        <is>
          <t>Львів</t>
        </is>
      </c>
      <c r="D35" s="33" t="inlineStr">
        <is>
          <t>+380 63 174 7575</t>
        </is>
      </c>
      <c r="E35" s="11" t="inlineStr"/>
      <c r="F35" s="12" t="inlineStr">
        <is>
          <t>https://wokpizza.lviv.ua/</t>
        </is>
      </c>
      <c r="G35" s="13" t="inlineStr">
        <is>
          <t>📍</t>
        </is>
      </c>
      <c r="H35" s="11" t="inlineStr"/>
      <c r="I35" s="11" t="inlineStr"/>
      <c r="J35" s="14" t="inlineStr">
        <is>
          <t>🌐 Є сайт</t>
        </is>
      </c>
      <c r="K35" s="15" t="inlineStr">
        <is>
          <t>✅</t>
        </is>
      </c>
      <c r="L35" s="16" t="inlineStr">
        <is>
          <t>❌</t>
        </is>
      </c>
      <c r="M35" s="17" t="inlineStr">
        <is>
          <t>🟡 B</t>
        </is>
      </c>
      <c r="N35" s="10" t="inlineStr"/>
      <c r="O35" s="10" t="inlineStr"/>
      <c r="P35" s="11" t="inlineStr"/>
      <c r="Q35" s="11" t="inlineStr"/>
      <c r="R35" s="18" t="n"/>
      <c r="S35" s="11" t="inlineStr"/>
      <c r="T35" s="19" t="inlineStr">
        <is>
          <t>🟡 Новий</t>
        </is>
      </c>
      <c r="U35" s="10" t="inlineStr"/>
      <c r="V35" s="18" t="n"/>
      <c r="W35" s="10" t="inlineStr"/>
    </row>
    <row r="36" ht="20" customHeight="1">
      <c r="A36" s="20" t="n">
        <v>34</v>
      </c>
      <c r="B36" s="21" t="inlineStr">
        <is>
          <t>Вірменка</t>
        </is>
      </c>
      <c r="C36" s="21" t="inlineStr">
        <is>
          <t>Львів</t>
        </is>
      </c>
      <c r="D36" s="22" t="inlineStr">
        <is>
          <t>+380 67 278 1608</t>
        </is>
      </c>
      <c r="E36" s="23" t="inlineStr"/>
      <c r="F36" s="24" t="inlineStr">
        <is>
          <t>http://www.virmenka.akurat.com.ua/</t>
        </is>
      </c>
      <c r="G36" s="25" t="inlineStr">
        <is>
          <t>📍</t>
        </is>
      </c>
      <c r="H36" s="23" t="inlineStr"/>
      <c r="I36" s="23" t="inlineStr"/>
      <c r="J36" s="14" t="inlineStr">
        <is>
          <t>🌐 Є сайт</t>
        </is>
      </c>
      <c r="K36" s="26" t="inlineStr">
        <is>
          <t>✅</t>
        </is>
      </c>
      <c r="L36" s="27" t="inlineStr">
        <is>
          <t>❌</t>
        </is>
      </c>
      <c r="M36" s="17" t="inlineStr">
        <is>
          <t>🟡 B</t>
        </is>
      </c>
      <c r="N36" s="21" t="inlineStr"/>
      <c r="O36" s="21" t="inlineStr"/>
      <c r="P36" s="23" t="inlineStr"/>
      <c r="Q36" s="23" t="inlineStr"/>
      <c r="R36" s="28" t="n"/>
      <c r="S36" s="23" t="inlineStr"/>
      <c r="T36" s="19" t="inlineStr">
        <is>
          <t>🟡 Новий</t>
        </is>
      </c>
      <c r="U36" s="21" t="inlineStr"/>
      <c r="V36" s="28" t="n"/>
      <c r="W36" s="21" t="inlineStr"/>
    </row>
    <row r="37" ht="20" customHeight="1">
      <c r="A37" s="9" t="n">
        <v>35</v>
      </c>
      <c r="B37" s="10" t="inlineStr">
        <is>
          <t>Ен Салада</t>
        </is>
      </c>
      <c r="C37" s="10" t="inlineStr">
        <is>
          <t>Львів</t>
        </is>
      </c>
      <c r="D37" s="33" t="inlineStr">
        <is>
          <t>+380 96 857 3085</t>
        </is>
      </c>
      <c r="E37" s="11" t="inlineStr"/>
      <c r="F37" s="12" t="inlineStr">
        <is>
          <t>https://ensalada.com.ua/</t>
        </is>
      </c>
      <c r="G37" s="13" t="inlineStr">
        <is>
          <t>📍</t>
        </is>
      </c>
      <c r="H37" s="11" t="inlineStr"/>
      <c r="I37" s="11" t="inlineStr"/>
      <c r="J37" s="14" t="inlineStr">
        <is>
          <t>🌐 Є сайт</t>
        </is>
      </c>
      <c r="K37" s="15" t="inlineStr">
        <is>
          <t>✅</t>
        </is>
      </c>
      <c r="L37" s="16" t="inlineStr">
        <is>
          <t>❌</t>
        </is>
      </c>
      <c r="M37" s="17" t="inlineStr">
        <is>
          <t>🟡 B</t>
        </is>
      </c>
      <c r="N37" s="10" t="inlineStr"/>
      <c r="O37" s="10" t="inlineStr"/>
      <c r="P37" s="11" t="inlineStr"/>
      <c r="Q37" s="11" t="inlineStr"/>
      <c r="R37" s="18" t="n"/>
      <c r="S37" s="11" t="inlineStr"/>
      <c r="T37" s="19" t="inlineStr">
        <is>
          <t>🟡 Новий</t>
        </is>
      </c>
      <c r="U37" s="10" t="inlineStr"/>
      <c r="V37" s="18" t="n"/>
      <c r="W37" s="10" t="inlineStr"/>
    </row>
    <row r="38" ht="20" customHeight="1">
      <c r="A38" s="20" t="n">
        <v>36</v>
      </c>
      <c r="B38" s="21" t="inlineStr">
        <is>
          <t>Зашкварка</t>
        </is>
      </c>
      <c r="C38" s="21" t="inlineStr">
        <is>
          <t>вул. Пекарська вулиця, 2, Львів</t>
        </is>
      </c>
      <c r="D38" s="22" t="inlineStr">
        <is>
          <t>0 (93) 381 87 03</t>
        </is>
      </c>
      <c r="E38" s="23" t="inlineStr"/>
      <c r="F38" s="24" t="inlineStr">
        <is>
          <t>https://zashkvarka.choiceqr.com/menu</t>
        </is>
      </c>
      <c r="G38" s="25" t="inlineStr">
        <is>
          <t>📍</t>
        </is>
      </c>
      <c r="H38" s="23" t="inlineStr"/>
      <c r="I38" s="23" t="inlineStr"/>
      <c r="J38" s="14" t="inlineStr">
        <is>
          <t>🌐 Є сайт</t>
        </is>
      </c>
      <c r="K38" s="26" t="inlineStr">
        <is>
          <t>✅</t>
        </is>
      </c>
      <c r="L38" s="27" t="inlineStr">
        <is>
          <t>❌</t>
        </is>
      </c>
      <c r="M38" s="17" t="inlineStr">
        <is>
          <t>🟡 B</t>
        </is>
      </c>
      <c r="N38" s="21" t="inlineStr"/>
      <c r="O38" s="21" t="inlineStr"/>
      <c r="P38" s="23" t="inlineStr"/>
      <c r="Q38" s="23" t="inlineStr"/>
      <c r="R38" s="28" t="n"/>
      <c r="S38" s="23" t="inlineStr"/>
      <c r="T38" s="19" t="inlineStr">
        <is>
          <t>🟡 Новий</t>
        </is>
      </c>
      <c r="U38" s="21" t="inlineStr"/>
      <c r="V38" s="28" t="n"/>
      <c r="W38" s="21" t="inlineStr"/>
    </row>
    <row r="39" ht="20" customHeight="1">
      <c r="A39" s="9" t="n">
        <v>37</v>
      </c>
      <c r="B39" s="10" t="inlineStr">
        <is>
          <t>Зелені пагорби</t>
        </is>
      </c>
      <c r="C39" s="10" t="inlineStr">
        <is>
          <t>Львів</t>
        </is>
      </c>
      <c r="D39" s="11" t="inlineStr"/>
      <c r="E39" s="11" t="inlineStr"/>
      <c r="F39" s="12" t="inlineStr">
        <is>
          <t>https://lioncastlehotel.com/restoran/</t>
        </is>
      </c>
      <c r="G39" s="13" t="inlineStr">
        <is>
          <t>📍</t>
        </is>
      </c>
      <c r="H39" s="11" t="inlineStr"/>
      <c r="I39" s="11" t="inlineStr"/>
      <c r="J39" s="14" t="inlineStr">
        <is>
          <t>🌐 Є сайт</t>
        </is>
      </c>
      <c r="K39" s="15" t="inlineStr">
        <is>
          <t>✅</t>
        </is>
      </c>
      <c r="L39" s="16" t="inlineStr">
        <is>
          <t>❌</t>
        </is>
      </c>
      <c r="M39" s="17" t="inlineStr">
        <is>
          <t>🟡 B</t>
        </is>
      </c>
      <c r="N39" s="10" t="inlineStr"/>
      <c r="O39" s="10" t="inlineStr"/>
      <c r="P39" s="11" t="inlineStr"/>
      <c r="Q39" s="11" t="inlineStr"/>
      <c r="R39" s="18" t="n"/>
      <c r="S39" s="11" t="inlineStr"/>
      <c r="T39" s="19" t="inlineStr">
        <is>
          <t>🟡 Новий</t>
        </is>
      </c>
      <c r="U39" s="10" t="inlineStr"/>
      <c r="V39" s="18" t="n"/>
      <c r="W39" s="10" t="inlineStr"/>
    </row>
    <row r="40" ht="20" customHeight="1">
      <c r="A40" s="20" t="n">
        <v>38</v>
      </c>
      <c r="B40" s="21" t="inlineStr">
        <is>
          <t>Кет Кафе</t>
        </is>
      </c>
      <c r="C40" s="21" t="inlineStr">
        <is>
          <t>вул. площа Генерала Петра Григоренка, 1а, Львів</t>
        </is>
      </c>
      <c r="D40" s="22" t="inlineStr">
        <is>
          <t>+380 67 804 4780</t>
        </is>
      </c>
      <c r="E40" s="23" t="inlineStr"/>
      <c r="F40" s="24" t="inlineStr">
        <is>
          <t>https://catcafe.com.ua/</t>
        </is>
      </c>
      <c r="G40" s="25" t="inlineStr">
        <is>
          <t>📍</t>
        </is>
      </c>
      <c r="H40" s="23" t="inlineStr"/>
      <c r="I40" s="23" t="inlineStr"/>
      <c r="J40" s="14" t="inlineStr">
        <is>
          <t>🌐 Є сайт</t>
        </is>
      </c>
      <c r="K40" s="26" t="inlineStr">
        <is>
          <t>✅</t>
        </is>
      </c>
      <c r="L40" s="27" t="inlineStr">
        <is>
          <t>❌</t>
        </is>
      </c>
      <c r="M40" s="17" t="inlineStr">
        <is>
          <t>🟡 B</t>
        </is>
      </c>
      <c r="N40" s="21" t="inlineStr"/>
      <c r="O40" s="21" t="inlineStr"/>
      <c r="P40" s="23" t="inlineStr"/>
      <c r="Q40" s="23" t="inlineStr"/>
      <c r="R40" s="28" t="n"/>
      <c r="S40" s="23" t="inlineStr"/>
      <c r="T40" s="19" t="inlineStr">
        <is>
          <t>🟡 Новий</t>
        </is>
      </c>
      <c r="U40" s="21" t="inlineStr"/>
      <c r="V40" s="28" t="n"/>
      <c r="W40" s="21" t="inlineStr"/>
    </row>
    <row r="41" ht="20" customHeight="1">
      <c r="A41" s="9" t="n">
        <v>39</v>
      </c>
      <c r="B41" s="10" t="inlineStr">
        <is>
          <t>Клепсидра</t>
        </is>
      </c>
      <c r="C41" s="10" t="inlineStr">
        <is>
          <t>Львів</t>
        </is>
      </c>
      <c r="D41" s="33" t="inlineStr">
        <is>
          <t>+380 93 434 0724</t>
        </is>
      </c>
      <c r="E41" s="11" t="inlineStr"/>
      <c r="F41" s="12" t="inlineStr">
        <is>
          <t>https://www.facebook.com/klepsydra2017/</t>
        </is>
      </c>
      <c r="G41" s="13" t="inlineStr">
        <is>
          <t>📍</t>
        </is>
      </c>
      <c r="H41" s="11" t="inlineStr"/>
      <c r="I41" s="11" t="inlineStr"/>
      <c r="J41" s="14" t="inlineStr">
        <is>
          <t>🌐 Є сайт</t>
        </is>
      </c>
      <c r="K41" s="15" t="inlineStr">
        <is>
          <t>✅</t>
        </is>
      </c>
      <c r="L41" s="16" t="inlineStr">
        <is>
          <t>❌</t>
        </is>
      </c>
      <c r="M41" s="17" t="inlineStr">
        <is>
          <t>🟡 B</t>
        </is>
      </c>
      <c r="N41" s="10" t="inlineStr"/>
      <c r="O41" s="10" t="inlineStr"/>
      <c r="P41" s="11" t="inlineStr"/>
      <c r="Q41" s="11" t="inlineStr"/>
      <c r="R41" s="18" t="n"/>
      <c r="S41" s="11" t="inlineStr"/>
      <c r="T41" s="19" t="inlineStr">
        <is>
          <t>🟡 Новий</t>
        </is>
      </c>
      <c r="U41" s="10" t="inlineStr"/>
      <c r="V41" s="18" t="n"/>
      <c r="W41" s="10" t="inlineStr"/>
    </row>
    <row r="42" ht="20" customHeight="1">
      <c r="A42" s="20" t="n">
        <v>40</v>
      </c>
      <c r="B42" s="21" t="inlineStr">
        <is>
          <t>Кондитерська BISCOTTI</t>
        </is>
      </c>
      <c r="C42" s="21" t="inlineStr">
        <is>
          <t>вул. вулиця Листопадового Чину, 14, Львів</t>
        </is>
      </c>
      <c r="D42" s="22" t="inlineStr">
        <is>
          <t>+380 97 796 4046</t>
        </is>
      </c>
      <c r="E42" s="23" t="inlineStr"/>
      <c r="F42" s="24" t="inlineStr">
        <is>
          <t>https://biscotti.com.ua/</t>
        </is>
      </c>
      <c r="G42" s="25" t="inlineStr">
        <is>
          <t>📍</t>
        </is>
      </c>
      <c r="H42" s="23" t="inlineStr"/>
      <c r="I42" s="23" t="inlineStr"/>
      <c r="J42" s="14" t="inlineStr">
        <is>
          <t>🌐 Є сайт</t>
        </is>
      </c>
      <c r="K42" s="26" t="inlineStr">
        <is>
          <t>✅</t>
        </is>
      </c>
      <c r="L42" s="27" t="inlineStr">
        <is>
          <t>❌</t>
        </is>
      </c>
      <c r="M42" s="17" t="inlineStr">
        <is>
          <t>🟡 B</t>
        </is>
      </c>
      <c r="N42" s="21" t="inlineStr"/>
      <c r="O42" s="21" t="inlineStr"/>
      <c r="P42" s="23" t="inlineStr"/>
      <c r="Q42" s="23" t="inlineStr"/>
      <c r="R42" s="28" t="n"/>
      <c r="S42" s="23" t="inlineStr"/>
      <c r="T42" s="19" t="inlineStr">
        <is>
          <t>🟡 Новий</t>
        </is>
      </c>
      <c r="U42" s="21" t="inlineStr"/>
      <c r="V42" s="28" t="n"/>
      <c r="W42" s="21" t="inlineStr"/>
    </row>
    <row r="43" ht="20" customHeight="1">
      <c r="A43" s="9" t="n">
        <v>41</v>
      </c>
      <c r="B43" s="10" t="inlineStr">
        <is>
          <t>Котигорошко</t>
        </is>
      </c>
      <c r="C43" s="10" t="inlineStr">
        <is>
          <t>Львів</t>
        </is>
      </c>
      <c r="D43" s="33" t="inlineStr">
        <is>
          <t>+380 67 662 3353</t>
        </is>
      </c>
      <c r="E43" s="11" t="inlineStr"/>
      <c r="F43" s="12" t="inlineStr">
        <is>
          <t>http://kotugoroshko.lviv.ua</t>
        </is>
      </c>
      <c r="G43" s="13" t="inlineStr">
        <is>
          <t>📍</t>
        </is>
      </c>
      <c r="H43" s="11" t="inlineStr"/>
      <c r="I43" s="11" t="inlineStr"/>
      <c r="J43" s="14" t="inlineStr">
        <is>
          <t>🌐 Є сайт</t>
        </is>
      </c>
      <c r="K43" s="15" t="inlineStr">
        <is>
          <t>✅</t>
        </is>
      </c>
      <c r="L43" s="16" t="inlineStr">
        <is>
          <t>❌</t>
        </is>
      </c>
      <c r="M43" s="17" t="inlineStr">
        <is>
          <t>🟡 B</t>
        </is>
      </c>
      <c r="N43" s="10" t="inlineStr"/>
      <c r="O43" s="10" t="inlineStr"/>
      <c r="P43" s="11" t="inlineStr"/>
      <c r="Q43" s="11" t="inlineStr"/>
      <c r="R43" s="18" t="n"/>
      <c r="S43" s="11" t="inlineStr"/>
      <c r="T43" s="19" t="inlineStr">
        <is>
          <t>🟡 Новий</t>
        </is>
      </c>
      <c r="U43" s="10" t="inlineStr"/>
      <c r="V43" s="18" t="n"/>
      <c r="W43" s="10" t="inlineStr"/>
    </row>
    <row r="44" ht="20" customHeight="1">
      <c r="A44" s="20" t="n">
        <v>42</v>
      </c>
      <c r="B44" s="21" t="inlineStr">
        <is>
          <t>Креденс</t>
        </is>
      </c>
      <c r="C44" s="21" t="inlineStr">
        <is>
          <t>вул. Стрийська вулиця, 200А, Львів</t>
        </is>
      </c>
      <c r="D44" s="22" t="inlineStr">
        <is>
          <t>+380967504453</t>
        </is>
      </c>
      <c r="E44" s="23" t="inlineStr"/>
      <c r="F44" s="24" t="inlineStr">
        <is>
          <t>https://kredens.com.ua/locations/vul-striiska-202-ducks-lake</t>
        </is>
      </c>
      <c r="G44" s="25" t="inlineStr">
        <is>
          <t>📍</t>
        </is>
      </c>
      <c r="H44" s="23" t="inlineStr"/>
      <c r="I44" s="23" t="inlineStr"/>
      <c r="J44" s="14" t="inlineStr">
        <is>
          <t>🌐 Є сайт</t>
        </is>
      </c>
      <c r="K44" s="26" t="inlineStr">
        <is>
          <t>✅</t>
        </is>
      </c>
      <c r="L44" s="27" t="inlineStr">
        <is>
          <t>❌</t>
        </is>
      </c>
      <c r="M44" s="17" t="inlineStr">
        <is>
          <t>🟡 B</t>
        </is>
      </c>
      <c r="N44" s="21" t="inlineStr"/>
      <c r="O44" s="21" t="inlineStr"/>
      <c r="P44" s="23" t="inlineStr"/>
      <c r="Q44" s="23" t="inlineStr"/>
      <c r="R44" s="28" t="n"/>
      <c r="S44" s="23" t="inlineStr"/>
      <c r="T44" s="19" t="inlineStr">
        <is>
          <t>🟡 Новий</t>
        </is>
      </c>
      <c r="U44" s="21" t="inlineStr"/>
      <c r="V44" s="28" t="n"/>
      <c r="W44" s="21" t="inlineStr"/>
    </row>
    <row r="45" ht="20" customHeight="1">
      <c r="A45" s="9" t="n">
        <v>43</v>
      </c>
      <c r="B45" s="10" t="inlineStr">
        <is>
          <t>Лавлі кафі</t>
        </is>
      </c>
      <c r="C45" s="10" t="inlineStr">
        <is>
          <t>вул. Стрийська вулиця, 45, Львів</t>
        </is>
      </c>
      <c r="D45" s="33" t="inlineStr">
        <is>
          <t>+380 50 875 6878</t>
        </is>
      </c>
      <c r="E45" s="11" t="inlineStr"/>
      <c r="F45" s="12" t="inlineStr">
        <is>
          <t>https://lovely-coffee-coffee-shop.business.site/</t>
        </is>
      </c>
      <c r="G45" s="13" t="inlineStr">
        <is>
          <t>📍</t>
        </is>
      </c>
      <c r="H45" s="11" t="inlineStr"/>
      <c r="I45" s="11" t="inlineStr"/>
      <c r="J45" s="14" t="inlineStr">
        <is>
          <t>🌐 Є сайт</t>
        </is>
      </c>
      <c r="K45" s="15" t="inlineStr">
        <is>
          <t>✅</t>
        </is>
      </c>
      <c r="L45" s="16" t="inlineStr">
        <is>
          <t>❌</t>
        </is>
      </c>
      <c r="M45" s="17" t="inlineStr">
        <is>
          <t>🟡 B</t>
        </is>
      </c>
      <c r="N45" s="10" t="inlineStr"/>
      <c r="O45" s="10" t="inlineStr"/>
      <c r="P45" s="11" t="inlineStr"/>
      <c r="Q45" s="11" t="inlineStr"/>
      <c r="R45" s="18" t="n"/>
      <c r="S45" s="11" t="inlineStr"/>
      <c r="T45" s="19" t="inlineStr">
        <is>
          <t>🟡 Новий</t>
        </is>
      </c>
      <c r="U45" s="10" t="inlineStr"/>
      <c r="V45" s="18" t="n"/>
      <c r="W45" s="10" t="inlineStr"/>
    </row>
    <row r="46" ht="20" customHeight="1">
      <c r="A46" s="20" t="n">
        <v>44</v>
      </c>
      <c r="B46" s="21" t="inlineStr">
        <is>
          <t>Львівська Майстерня Шоколаду</t>
        </is>
      </c>
      <c r="C46" s="21" t="inlineStr">
        <is>
          <t>Львів</t>
        </is>
      </c>
      <c r="D46" s="22" t="inlineStr">
        <is>
          <t>+380 50 430 6033</t>
        </is>
      </c>
      <c r="E46" s="23" t="inlineStr"/>
      <c r="F46" s="24" t="inlineStr">
        <is>
          <t>https://www.chocolate.lviv.ua/</t>
        </is>
      </c>
      <c r="G46" s="25" t="inlineStr">
        <is>
          <t>📍</t>
        </is>
      </c>
      <c r="H46" s="23" t="inlineStr"/>
      <c r="I46" s="23" t="inlineStr"/>
      <c r="J46" s="14" t="inlineStr">
        <is>
          <t>🌐 Є сайт</t>
        </is>
      </c>
      <c r="K46" s="26" t="inlineStr">
        <is>
          <t>✅</t>
        </is>
      </c>
      <c r="L46" s="27" t="inlineStr">
        <is>
          <t>❌</t>
        </is>
      </c>
      <c r="M46" s="17" t="inlineStr">
        <is>
          <t>🟡 B</t>
        </is>
      </c>
      <c r="N46" s="21" t="inlineStr"/>
      <c r="O46" s="21" t="inlineStr"/>
      <c r="P46" s="23" t="inlineStr"/>
      <c r="Q46" s="23" t="inlineStr"/>
      <c r="R46" s="28" t="n"/>
      <c r="S46" s="23" t="inlineStr"/>
      <c r="T46" s="19" t="inlineStr">
        <is>
          <t>🟡 Новий</t>
        </is>
      </c>
      <c r="U46" s="21" t="inlineStr"/>
      <c r="V46" s="28" t="n"/>
      <c r="W46" s="21" t="inlineStr"/>
    </row>
    <row r="47" ht="20" customHeight="1">
      <c r="A47" s="9" t="n">
        <v>45</v>
      </c>
      <c r="B47" s="10" t="inlineStr">
        <is>
          <t>Львівська копальня кави</t>
        </is>
      </c>
      <c r="C47" s="10" t="inlineStr">
        <is>
          <t>Львів</t>
        </is>
      </c>
      <c r="D47" s="33" t="inlineStr">
        <is>
          <t>+380 67 670 6106</t>
        </is>
      </c>
      <c r="E47" s="11" t="inlineStr"/>
      <c r="F47" s="12" t="inlineStr">
        <is>
          <t>http://www.fest.lviv.ua/uk/restaurants/coffeemanufacture</t>
        </is>
      </c>
      <c r="G47" s="13" t="inlineStr">
        <is>
          <t>📍</t>
        </is>
      </c>
      <c r="H47" s="11" t="inlineStr"/>
      <c r="I47" s="11" t="inlineStr"/>
      <c r="J47" s="14" t="inlineStr">
        <is>
          <t>🌐 Є сайт</t>
        </is>
      </c>
      <c r="K47" s="15" t="inlineStr">
        <is>
          <t>✅</t>
        </is>
      </c>
      <c r="L47" s="16" t="inlineStr">
        <is>
          <t>❌</t>
        </is>
      </c>
      <c r="M47" s="17" t="inlineStr">
        <is>
          <t>🟡 B</t>
        </is>
      </c>
      <c r="N47" s="10" t="inlineStr"/>
      <c r="O47" s="10" t="inlineStr"/>
      <c r="P47" s="11" t="inlineStr"/>
      <c r="Q47" s="11" t="inlineStr"/>
      <c r="R47" s="18" t="n"/>
      <c r="S47" s="11" t="inlineStr"/>
      <c r="T47" s="19" t="inlineStr">
        <is>
          <t>🟡 Новий</t>
        </is>
      </c>
      <c r="U47" s="10" t="inlineStr"/>
      <c r="V47" s="18" t="n"/>
      <c r="W47" s="10" t="inlineStr"/>
    </row>
    <row r="48" ht="20" customHeight="1">
      <c r="A48" s="20" t="n">
        <v>46</v>
      </c>
      <c r="B48" s="21" t="inlineStr">
        <is>
          <t>Львівська майстерня шоколаду</t>
        </is>
      </c>
      <c r="C48" s="21" t="inlineStr">
        <is>
          <t>вул. вулиця Січових Стрільців, 5, Львів</t>
        </is>
      </c>
      <c r="D48" s="22" t="inlineStr">
        <is>
          <t>+380 50 378 2362</t>
        </is>
      </c>
      <c r="E48" s="23" t="inlineStr"/>
      <c r="F48" s="24" t="inlineStr">
        <is>
          <t>https://www.chocolate.lviv.ua</t>
        </is>
      </c>
      <c r="G48" s="25" t="inlineStr">
        <is>
          <t>📍</t>
        </is>
      </c>
      <c r="H48" s="23" t="inlineStr"/>
      <c r="I48" s="23" t="inlineStr"/>
      <c r="J48" s="14" t="inlineStr">
        <is>
          <t>🌐 Є сайт</t>
        </is>
      </c>
      <c r="K48" s="26" t="inlineStr">
        <is>
          <t>✅</t>
        </is>
      </c>
      <c r="L48" s="27" t="inlineStr">
        <is>
          <t>❌</t>
        </is>
      </c>
      <c r="M48" s="17" t="inlineStr">
        <is>
          <t>🟡 B</t>
        </is>
      </c>
      <c r="N48" s="21" t="inlineStr"/>
      <c r="O48" s="21" t="inlineStr"/>
      <c r="P48" s="23" t="inlineStr"/>
      <c r="Q48" s="23" t="inlineStr"/>
      <c r="R48" s="28" t="n"/>
      <c r="S48" s="23" t="inlineStr"/>
      <c r="T48" s="19" t="inlineStr">
        <is>
          <t>🟡 Новий</t>
        </is>
      </c>
      <c r="U48" s="21" t="inlineStr"/>
      <c r="V48" s="28" t="n"/>
      <c r="W48" s="21" t="inlineStr"/>
    </row>
    <row r="49" ht="20" customHeight="1">
      <c r="A49" s="9" t="n">
        <v>47</v>
      </c>
      <c r="B49" s="10" t="inlineStr">
        <is>
          <t>Львівська мануфактура кави</t>
        </is>
      </c>
      <c r="C49" s="10" t="inlineStr">
        <is>
          <t>вул. Соборна площа, 2, Львів</t>
        </is>
      </c>
      <c r="D49" s="11" t="inlineStr"/>
      <c r="E49" s="11" t="inlineStr"/>
      <c r="F49" s="12" t="inlineStr">
        <is>
          <t>https://manufacture.coffee/</t>
        </is>
      </c>
      <c r="G49" s="13" t="inlineStr">
        <is>
          <t>📍</t>
        </is>
      </c>
      <c r="H49" s="11" t="inlineStr"/>
      <c r="I49" s="11" t="inlineStr"/>
      <c r="J49" s="14" t="inlineStr">
        <is>
          <t>🌐 Є сайт</t>
        </is>
      </c>
      <c r="K49" s="15" t="inlineStr">
        <is>
          <t>✅</t>
        </is>
      </c>
      <c r="L49" s="16" t="inlineStr">
        <is>
          <t>❌</t>
        </is>
      </c>
      <c r="M49" s="17" t="inlineStr">
        <is>
          <t>🟡 B</t>
        </is>
      </c>
      <c r="N49" s="10" t="inlineStr"/>
      <c r="O49" s="10" t="inlineStr"/>
      <c r="P49" s="11" t="inlineStr"/>
      <c r="Q49" s="11" t="inlineStr"/>
      <c r="R49" s="18" t="n"/>
      <c r="S49" s="11" t="inlineStr"/>
      <c r="T49" s="19" t="inlineStr">
        <is>
          <t>🟡 Новий</t>
        </is>
      </c>
      <c r="U49" s="10" t="inlineStr"/>
      <c r="V49" s="18" t="n"/>
      <c r="W49" s="10" t="inlineStr"/>
    </row>
    <row r="50" ht="20" customHeight="1">
      <c r="A50" s="20" t="n">
        <v>48</v>
      </c>
      <c r="B50" s="21" t="inlineStr">
        <is>
          <t>Львівські Коноплі Hemp Heaven</t>
        </is>
      </c>
      <c r="C50" s="21" t="inlineStr">
        <is>
          <t>Львів</t>
        </is>
      </c>
      <c r="D50" s="22" t="inlineStr">
        <is>
          <t>+380931846933</t>
        </is>
      </c>
      <c r="E50" s="23" t="inlineStr"/>
      <c r="F50" s="24" t="inlineStr">
        <is>
          <t>https://stravopys.com/lvvsk-konopl-hemp-heaven</t>
        </is>
      </c>
      <c r="G50" s="25" t="inlineStr">
        <is>
          <t>📍</t>
        </is>
      </c>
      <c r="H50" s="23" t="inlineStr"/>
      <c r="I50" s="23" t="inlineStr"/>
      <c r="J50" s="14" t="inlineStr">
        <is>
          <t>🌐 Є сайт</t>
        </is>
      </c>
      <c r="K50" s="26" t="inlineStr">
        <is>
          <t>✅</t>
        </is>
      </c>
      <c r="L50" s="27" t="inlineStr">
        <is>
          <t>❌</t>
        </is>
      </c>
      <c r="M50" s="17" t="inlineStr">
        <is>
          <t>🟡 B</t>
        </is>
      </c>
      <c r="N50" s="21" t="inlineStr"/>
      <c r="O50" s="21" t="inlineStr"/>
      <c r="P50" s="23" t="inlineStr"/>
      <c r="Q50" s="23" t="inlineStr"/>
      <c r="R50" s="28" t="n"/>
      <c r="S50" s="23" t="inlineStr"/>
      <c r="T50" s="19" t="inlineStr">
        <is>
          <t>🟡 Новий</t>
        </is>
      </c>
      <c r="U50" s="21" t="inlineStr"/>
      <c r="V50" s="28" t="n"/>
      <c r="W50" s="21" t="inlineStr"/>
    </row>
    <row r="51" ht="20" customHeight="1">
      <c r="A51" s="9" t="n">
        <v>49</v>
      </c>
      <c r="B51" s="10" t="inlineStr">
        <is>
          <t>Львівські Млинці</t>
        </is>
      </c>
      <c r="C51" s="10" t="inlineStr">
        <is>
          <t>вул. вулиця Братів Рогатинців, 41, Львів</t>
        </is>
      </c>
      <c r="D51" s="33" t="inlineStr">
        <is>
          <t>+380 97 504 7574</t>
        </is>
      </c>
      <c r="E51" s="11" t="inlineStr"/>
      <c r="F51" s="12" t="inlineStr">
        <is>
          <t>https://www.lvivpancakes.com</t>
        </is>
      </c>
      <c r="G51" s="13" t="inlineStr">
        <is>
          <t>📍</t>
        </is>
      </c>
      <c r="H51" s="11" t="inlineStr"/>
      <c r="I51" s="11" t="inlineStr"/>
      <c r="J51" s="14" t="inlineStr">
        <is>
          <t>🌐 Є сайт</t>
        </is>
      </c>
      <c r="K51" s="15" t="inlineStr">
        <is>
          <t>✅</t>
        </is>
      </c>
      <c r="L51" s="16" t="inlineStr">
        <is>
          <t>❌</t>
        </is>
      </c>
      <c r="M51" s="17" t="inlineStr">
        <is>
          <t>🟡 B</t>
        </is>
      </c>
      <c r="N51" s="10" t="inlineStr"/>
      <c r="O51" s="10" t="inlineStr"/>
      <c r="P51" s="11" t="inlineStr"/>
      <c r="Q51" s="11" t="inlineStr"/>
      <c r="R51" s="18" t="n"/>
      <c r="S51" s="11" t="inlineStr"/>
      <c r="T51" s="19" t="inlineStr">
        <is>
          <t>🟡 Новий</t>
        </is>
      </c>
      <c r="U51" s="10" t="inlineStr"/>
      <c r="V51" s="18" t="n"/>
      <c r="W51" s="10" t="inlineStr"/>
    </row>
    <row r="52" ht="20" customHeight="1">
      <c r="A52" s="20" t="n">
        <v>50</v>
      </c>
      <c r="B52" s="21" t="inlineStr">
        <is>
          <t>Львівські круасани</t>
        </is>
      </c>
      <c r="C52" s="21" t="inlineStr">
        <is>
          <t>вул. Малоголосківська вулиця, 42, Львів</t>
        </is>
      </c>
      <c r="D52" s="23" t="inlineStr"/>
      <c r="E52" s="23" t="inlineStr"/>
      <c r="F52" s="24" t="inlineStr">
        <is>
          <t>https://lvivcroissants.com/</t>
        </is>
      </c>
      <c r="G52" s="25" t="inlineStr">
        <is>
          <t>📍</t>
        </is>
      </c>
      <c r="H52" s="23" t="inlineStr"/>
      <c r="I52" s="23" t="inlineStr"/>
      <c r="J52" s="14" t="inlineStr">
        <is>
          <t>🌐 Є сайт</t>
        </is>
      </c>
      <c r="K52" s="26" t="inlineStr">
        <is>
          <t>✅</t>
        </is>
      </c>
      <c r="L52" s="27" t="inlineStr">
        <is>
          <t>❌</t>
        </is>
      </c>
      <c r="M52" s="17" t="inlineStr">
        <is>
          <t>🟡 B</t>
        </is>
      </c>
      <c r="N52" s="21" t="inlineStr"/>
      <c r="O52" s="21" t="inlineStr"/>
      <c r="P52" s="23" t="inlineStr"/>
      <c r="Q52" s="23" t="inlineStr"/>
      <c r="R52" s="28" t="n"/>
      <c r="S52" s="23" t="inlineStr"/>
      <c r="T52" s="19" t="inlineStr">
        <is>
          <t>🟡 Новий</t>
        </is>
      </c>
      <c r="U52" s="21" t="inlineStr"/>
      <c r="V52" s="28" t="n"/>
      <c r="W52" s="21" t="inlineStr"/>
    </row>
    <row r="53" ht="20" customHeight="1">
      <c r="A53" s="9" t="n">
        <v>51</v>
      </c>
      <c r="B53" s="10" t="inlineStr">
        <is>
          <t>Львівські пляцки</t>
        </is>
      </c>
      <c r="C53" s="10" t="inlineStr">
        <is>
          <t>Львів</t>
        </is>
      </c>
      <c r="D53" s="33" t="inlineStr">
        <is>
          <t>+380 50 371 3833</t>
        </is>
      </c>
      <c r="E53" s="11" t="inlineStr"/>
      <c r="F53" s="12" t="inlineStr">
        <is>
          <t>http://www.fest.lviv.ua/uk/restaurants/lvivskipljacky/</t>
        </is>
      </c>
      <c r="G53" s="13" t="inlineStr">
        <is>
          <t>📍</t>
        </is>
      </c>
      <c r="H53" s="11" t="inlineStr"/>
      <c r="I53" s="11" t="inlineStr"/>
      <c r="J53" s="14" t="inlineStr">
        <is>
          <t>🌐 Є сайт</t>
        </is>
      </c>
      <c r="K53" s="15" t="inlineStr">
        <is>
          <t>✅</t>
        </is>
      </c>
      <c r="L53" s="16" t="inlineStr">
        <is>
          <t>❌</t>
        </is>
      </c>
      <c r="M53" s="17" t="inlineStr">
        <is>
          <t>🟡 B</t>
        </is>
      </c>
      <c r="N53" s="10" t="inlineStr"/>
      <c r="O53" s="10" t="inlineStr"/>
      <c r="P53" s="11" t="inlineStr"/>
      <c r="Q53" s="11" t="inlineStr"/>
      <c r="R53" s="18" t="n"/>
      <c r="S53" s="11" t="inlineStr"/>
      <c r="T53" s="19" t="inlineStr">
        <is>
          <t>🟡 Новий</t>
        </is>
      </c>
      <c r="U53" s="10" t="inlineStr"/>
      <c r="V53" s="18" t="n"/>
      <c r="W53" s="10" t="inlineStr"/>
    </row>
    <row r="54" ht="20" customHeight="1">
      <c r="A54" s="20" t="n">
        <v>52</v>
      </c>
      <c r="B54" s="21" t="inlineStr">
        <is>
          <t>Лівий Берег</t>
        </is>
      </c>
      <c r="C54" s="21" t="inlineStr">
        <is>
          <t>Львів</t>
        </is>
      </c>
      <c r="D54" s="22" t="inlineStr">
        <is>
          <t>+380 50 430 5385</t>
        </is>
      </c>
      <c r="E54" s="23" t="inlineStr"/>
      <c r="F54" s="24" t="inlineStr">
        <is>
          <t>http://www.fest.lviv.ua/uk/restaurants/livyjbereh</t>
        </is>
      </c>
      <c r="G54" s="25" t="inlineStr">
        <is>
          <t>📍</t>
        </is>
      </c>
      <c r="H54" s="23" t="inlineStr"/>
      <c r="I54" s="23" t="inlineStr"/>
      <c r="J54" s="14" t="inlineStr">
        <is>
          <t>🌐 Є сайт</t>
        </is>
      </c>
      <c r="K54" s="26" t="inlineStr">
        <is>
          <t>✅</t>
        </is>
      </c>
      <c r="L54" s="27" t="inlineStr">
        <is>
          <t>❌</t>
        </is>
      </c>
      <c r="M54" s="17" t="inlineStr">
        <is>
          <t>🟡 B</t>
        </is>
      </c>
      <c r="N54" s="21" t="inlineStr"/>
      <c r="O54" s="21" t="inlineStr"/>
      <c r="P54" s="23" t="inlineStr"/>
      <c r="Q54" s="23" t="inlineStr"/>
      <c r="R54" s="28" t="n"/>
      <c r="S54" s="23" t="inlineStr"/>
      <c r="T54" s="19" t="inlineStr">
        <is>
          <t>🟡 Новий</t>
        </is>
      </c>
      <c r="U54" s="21" t="inlineStr"/>
      <c r="V54" s="28" t="n"/>
      <c r="W54" s="21" t="inlineStr"/>
    </row>
    <row r="55" ht="20" customHeight="1">
      <c r="A55" s="9" t="n">
        <v>53</v>
      </c>
      <c r="B55" s="10" t="inlineStr">
        <is>
          <t>Лігумінка</t>
        </is>
      </c>
      <c r="C55" s="10" t="inlineStr">
        <is>
          <t>Львів</t>
        </is>
      </c>
      <c r="D55" s="33" t="inlineStr">
        <is>
          <t>+380 50 417 3340</t>
        </is>
      </c>
      <c r="E55" s="11" t="inlineStr"/>
      <c r="F55" s="12" t="inlineStr">
        <is>
          <t>http://liguminka.cafe</t>
        </is>
      </c>
      <c r="G55" s="13" t="inlineStr">
        <is>
          <t>📍</t>
        </is>
      </c>
      <c r="H55" s="11" t="inlineStr"/>
      <c r="I55" s="11" t="inlineStr"/>
      <c r="J55" s="14" t="inlineStr">
        <is>
          <t>🌐 Є сайт</t>
        </is>
      </c>
      <c r="K55" s="15" t="inlineStr">
        <is>
          <t>✅</t>
        </is>
      </c>
      <c r="L55" s="16" t="inlineStr">
        <is>
          <t>❌</t>
        </is>
      </c>
      <c r="M55" s="17" t="inlineStr">
        <is>
          <t>🟡 B</t>
        </is>
      </c>
      <c r="N55" s="10" t="inlineStr"/>
      <c r="O55" s="10" t="inlineStr"/>
      <c r="P55" s="11" t="inlineStr"/>
      <c r="Q55" s="11" t="inlineStr"/>
      <c r="R55" s="18" t="n"/>
      <c r="S55" s="11" t="inlineStr"/>
      <c r="T55" s="19" t="inlineStr">
        <is>
          <t>🟡 Новий</t>
        </is>
      </c>
      <c r="U55" s="10" t="inlineStr"/>
      <c r="V55" s="18" t="n"/>
      <c r="W55" s="10" t="inlineStr"/>
    </row>
    <row r="56" ht="20" customHeight="1">
      <c r="A56" s="20" t="n">
        <v>54</v>
      </c>
      <c r="B56" s="21" t="inlineStr">
        <is>
          <t>Мiстечко</t>
        </is>
      </c>
      <c r="C56" s="21" t="inlineStr">
        <is>
          <t>Львів</t>
        </is>
      </c>
      <c r="D56" s="22" t="inlineStr">
        <is>
          <t>+380679926767</t>
        </is>
      </c>
      <c r="E56" s="23" t="inlineStr"/>
      <c r="F56" s="24" t="inlineStr">
        <is>
          <t>https://mistechko.cafe/</t>
        </is>
      </c>
      <c r="G56" s="25" t="inlineStr">
        <is>
          <t>📍</t>
        </is>
      </c>
      <c r="H56" s="23" t="inlineStr"/>
      <c r="I56" s="23" t="inlineStr"/>
      <c r="J56" s="14" t="inlineStr">
        <is>
          <t>🌐 Є сайт</t>
        </is>
      </c>
      <c r="K56" s="26" t="inlineStr">
        <is>
          <t>✅</t>
        </is>
      </c>
      <c r="L56" s="27" t="inlineStr">
        <is>
          <t>❌</t>
        </is>
      </c>
      <c r="M56" s="17" t="inlineStr">
        <is>
          <t>🟡 B</t>
        </is>
      </c>
      <c r="N56" s="21" t="inlineStr"/>
      <c r="O56" s="21" t="inlineStr"/>
      <c r="P56" s="23" t="inlineStr"/>
      <c r="Q56" s="23" t="inlineStr"/>
      <c r="R56" s="28" t="n"/>
      <c r="S56" s="23" t="inlineStr"/>
      <c r="T56" s="19" t="inlineStr">
        <is>
          <t>🟡 Новий</t>
        </is>
      </c>
      <c r="U56" s="21" t="inlineStr"/>
      <c r="V56" s="28" t="n"/>
      <c r="W56" s="21" t="inlineStr"/>
    </row>
    <row r="57" ht="20" customHeight="1">
      <c r="A57" s="9" t="n">
        <v>55</v>
      </c>
      <c r="B57" s="10" t="inlineStr">
        <is>
          <t>Мазох-cafe</t>
        </is>
      </c>
      <c r="C57" s="10" t="inlineStr">
        <is>
          <t>Львів</t>
        </is>
      </c>
      <c r="D57" s="33" t="inlineStr">
        <is>
          <t>+380 50 371 0440</t>
        </is>
      </c>
      <c r="E57" s="11" t="inlineStr"/>
      <c r="F57" s="12" t="inlineStr">
        <is>
          <t>http://www.fest.lviv.ua/uk/restaurants/masochcafe</t>
        </is>
      </c>
      <c r="G57" s="13" t="inlineStr">
        <is>
          <t>📍</t>
        </is>
      </c>
      <c r="H57" s="11" t="inlineStr"/>
      <c r="I57" s="11" t="inlineStr"/>
      <c r="J57" s="14" t="inlineStr">
        <is>
          <t>🌐 Є сайт</t>
        </is>
      </c>
      <c r="K57" s="15" t="inlineStr">
        <is>
          <t>✅</t>
        </is>
      </c>
      <c r="L57" s="16" t="inlineStr">
        <is>
          <t>❌</t>
        </is>
      </c>
      <c r="M57" s="17" t="inlineStr">
        <is>
          <t>🟡 B</t>
        </is>
      </c>
      <c r="N57" s="10" t="inlineStr"/>
      <c r="O57" s="10" t="inlineStr"/>
      <c r="P57" s="11" t="inlineStr"/>
      <c r="Q57" s="11" t="inlineStr"/>
      <c r="R57" s="18" t="n"/>
      <c r="S57" s="11" t="inlineStr"/>
      <c r="T57" s="19" t="inlineStr">
        <is>
          <t>🟡 Новий</t>
        </is>
      </c>
      <c r="U57" s="10" t="inlineStr"/>
      <c r="V57" s="18" t="n"/>
      <c r="W57" s="10" t="inlineStr"/>
    </row>
    <row r="58" ht="20" customHeight="1">
      <c r="A58" s="20" t="n">
        <v>56</v>
      </c>
      <c r="B58" s="21" t="inlineStr">
        <is>
          <t>Майстерня пряників "Юрашки"</t>
        </is>
      </c>
      <c r="C58" s="21" t="inlineStr">
        <is>
          <t>вул. Краківська вулиця, 14, Львів</t>
        </is>
      </c>
      <c r="D58" s="22" t="inlineStr">
        <is>
          <t>+380 67 674 9937</t>
        </is>
      </c>
      <c r="E58" s="23" t="inlineStr"/>
      <c r="F58" s="24" t="inlineStr">
        <is>
          <t>http://yurashky.com</t>
        </is>
      </c>
      <c r="G58" s="25" t="inlineStr">
        <is>
          <t>📍</t>
        </is>
      </c>
      <c r="H58" s="23" t="inlineStr"/>
      <c r="I58" s="23" t="inlineStr"/>
      <c r="J58" s="14" t="inlineStr">
        <is>
          <t>🌐 Є сайт</t>
        </is>
      </c>
      <c r="K58" s="26" t="inlineStr">
        <is>
          <t>✅</t>
        </is>
      </c>
      <c r="L58" s="27" t="inlineStr">
        <is>
          <t>❌</t>
        </is>
      </c>
      <c r="M58" s="17" t="inlineStr">
        <is>
          <t>🟡 B</t>
        </is>
      </c>
      <c r="N58" s="21" t="inlineStr"/>
      <c r="O58" s="21" t="inlineStr"/>
      <c r="P58" s="23" t="inlineStr"/>
      <c r="Q58" s="23" t="inlineStr"/>
      <c r="R58" s="28" t="n"/>
      <c r="S58" s="23" t="inlineStr"/>
      <c r="T58" s="19" t="inlineStr">
        <is>
          <t>🟡 Новий</t>
        </is>
      </c>
      <c r="U58" s="21" t="inlineStr"/>
      <c r="V58" s="28" t="n"/>
      <c r="W58" s="21" t="inlineStr"/>
    </row>
    <row r="59" ht="20" customHeight="1">
      <c r="A59" s="9" t="n">
        <v>57</v>
      </c>
      <c r="B59" s="10" t="inlineStr">
        <is>
          <t>Плейтс енд Капс</t>
        </is>
      </c>
      <c r="C59" s="10" t="inlineStr">
        <is>
          <t>вул. вулиця Братів Рогатинців, 43, Львів</t>
        </is>
      </c>
      <c r="D59" s="11" t="inlineStr"/>
      <c r="E59" s="11" t="inlineStr"/>
      <c r="F59" s="12" t="inlineStr">
        <is>
          <t>https://www.instagram.com/plates_cups</t>
        </is>
      </c>
      <c r="G59" s="13" t="inlineStr">
        <is>
          <t>📍</t>
        </is>
      </c>
      <c r="H59" s="11" t="inlineStr"/>
      <c r="I59" s="11" t="inlineStr"/>
      <c r="J59" s="14" t="inlineStr">
        <is>
          <t>🌐 Є сайт</t>
        </is>
      </c>
      <c r="K59" s="15" t="inlineStr">
        <is>
          <t>✅</t>
        </is>
      </c>
      <c r="L59" s="16" t="inlineStr">
        <is>
          <t>❌</t>
        </is>
      </c>
      <c r="M59" s="17" t="inlineStr">
        <is>
          <t>🟡 B</t>
        </is>
      </c>
      <c r="N59" s="10" t="inlineStr"/>
      <c r="O59" s="10" t="inlineStr"/>
      <c r="P59" s="11" t="inlineStr"/>
      <c r="Q59" s="11" t="inlineStr"/>
      <c r="R59" s="18" t="n"/>
      <c r="S59" s="11" t="inlineStr"/>
      <c r="T59" s="19" t="inlineStr">
        <is>
          <t>🟡 Новий</t>
        </is>
      </c>
      <c r="U59" s="10" t="inlineStr"/>
      <c r="V59" s="18" t="n"/>
      <c r="W59" s="10" t="inlineStr"/>
    </row>
    <row r="60" ht="20" customHeight="1">
      <c r="A60" s="20" t="n">
        <v>58</v>
      </c>
      <c r="B60" s="21" t="inlineStr">
        <is>
          <t>Привіт обід</t>
        </is>
      </c>
      <c r="C60" s="21" t="inlineStr">
        <is>
          <t>Львів</t>
        </is>
      </c>
      <c r="D60" s="23" t="inlineStr"/>
      <c r="E60" s="23" t="inlineStr"/>
      <c r="F60" s="24" t="inlineStr">
        <is>
          <t>http://www.puzatahata.com.ua/</t>
        </is>
      </c>
      <c r="G60" s="25" t="inlineStr">
        <is>
          <t>📍</t>
        </is>
      </c>
      <c r="H60" s="23" t="inlineStr"/>
      <c r="I60" s="23" t="inlineStr"/>
      <c r="J60" s="14" t="inlineStr">
        <is>
          <t>🌐 Є сайт</t>
        </is>
      </c>
      <c r="K60" s="26" t="inlineStr">
        <is>
          <t>✅</t>
        </is>
      </c>
      <c r="L60" s="27" t="inlineStr">
        <is>
          <t>❌</t>
        </is>
      </c>
      <c r="M60" s="17" t="inlineStr">
        <is>
          <t>🟡 B</t>
        </is>
      </c>
      <c r="N60" s="21" t="inlineStr"/>
      <c r="O60" s="21" t="inlineStr"/>
      <c r="P60" s="23" t="inlineStr"/>
      <c r="Q60" s="23" t="inlineStr"/>
      <c r="R60" s="28" t="n"/>
      <c r="S60" s="23" t="inlineStr"/>
      <c r="T60" s="19" t="inlineStr">
        <is>
          <t>🟡 Новий</t>
        </is>
      </c>
      <c r="U60" s="21" t="inlineStr"/>
      <c r="V60" s="28" t="n"/>
      <c r="W60" s="21" t="inlineStr"/>
    </row>
    <row r="61" ht="20" customHeight="1">
      <c r="A61" s="9" t="n">
        <v>59</v>
      </c>
      <c r="B61" s="10" t="inlineStr">
        <is>
          <t>Під Синьою Фляжкою</t>
        </is>
      </c>
      <c r="C61" s="10" t="inlineStr">
        <is>
          <t>вул. Руська вулиця, 4, Львів</t>
        </is>
      </c>
      <c r="D61" s="33" t="inlineStr">
        <is>
          <t>+380 322 94 9152</t>
        </is>
      </c>
      <c r="E61" s="11" t="inlineStr"/>
      <c r="F61" s="12" t="inlineStr">
        <is>
          <t>http://bluebottle.lviv.ua/</t>
        </is>
      </c>
      <c r="G61" s="13" t="inlineStr">
        <is>
          <t>📍</t>
        </is>
      </c>
      <c r="H61" s="11" t="inlineStr"/>
      <c r="I61" s="11" t="inlineStr"/>
      <c r="J61" s="14" t="inlineStr">
        <is>
          <t>🌐 Є сайт</t>
        </is>
      </c>
      <c r="K61" s="15" t="inlineStr">
        <is>
          <t>✅</t>
        </is>
      </c>
      <c r="L61" s="16" t="inlineStr">
        <is>
          <t>❌</t>
        </is>
      </c>
      <c r="M61" s="17" t="inlineStr">
        <is>
          <t>🟡 B</t>
        </is>
      </c>
      <c r="N61" s="10" t="inlineStr"/>
      <c r="O61" s="10" t="inlineStr"/>
      <c r="P61" s="11" t="inlineStr"/>
      <c r="Q61" s="11" t="inlineStr"/>
      <c r="R61" s="18" t="n"/>
      <c r="S61" s="11" t="inlineStr"/>
      <c r="T61" s="19" t="inlineStr">
        <is>
          <t>🟡 Новий</t>
        </is>
      </c>
      <c r="U61" s="10" t="inlineStr"/>
      <c r="V61" s="18" t="n"/>
      <c r="W61" s="10" t="inlineStr"/>
    </row>
    <row r="62" ht="20" customHeight="1">
      <c r="A62" s="20" t="n">
        <v>60</v>
      </c>
      <c r="B62" s="21" t="inlineStr">
        <is>
          <t>Салалат</t>
        </is>
      </c>
      <c r="C62" s="21" t="inlineStr">
        <is>
          <t>вул. Соборна площа, 2а, Львів</t>
        </is>
      </c>
      <c r="D62" s="22" t="inlineStr">
        <is>
          <t>+380639869570</t>
        </is>
      </c>
      <c r="E62" s="23" t="inlineStr"/>
      <c r="F62" s="24" t="inlineStr">
        <is>
          <t>https://salalat.choiceqr.com/</t>
        </is>
      </c>
      <c r="G62" s="25" t="inlineStr">
        <is>
          <t>📍</t>
        </is>
      </c>
      <c r="H62" s="23" t="inlineStr"/>
      <c r="I62" s="23" t="inlineStr"/>
      <c r="J62" s="14" t="inlineStr">
        <is>
          <t>🌐 Є сайт</t>
        </is>
      </c>
      <c r="K62" s="26" t="inlineStr">
        <is>
          <t>✅</t>
        </is>
      </c>
      <c r="L62" s="27" t="inlineStr">
        <is>
          <t>❌</t>
        </is>
      </c>
      <c r="M62" s="17" t="inlineStr">
        <is>
          <t>🟡 B</t>
        </is>
      </c>
      <c r="N62" s="21" t="inlineStr"/>
      <c r="O62" s="21" t="inlineStr"/>
      <c r="P62" s="23" t="inlineStr"/>
      <c r="Q62" s="23" t="inlineStr"/>
      <c r="R62" s="28" t="n"/>
      <c r="S62" s="23" t="inlineStr"/>
      <c r="T62" s="19" t="inlineStr">
        <is>
          <t>🟡 Новий</t>
        </is>
      </c>
      <c r="U62" s="21" t="inlineStr"/>
      <c r="V62" s="28" t="n"/>
      <c r="W62" s="21" t="inlineStr"/>
    </row>
    <row r="63" ht="20" customHeight="1">
      <c r="A63" s="9" t="n">
        <v>61</v>
      </c>
      <c r="B63" s="10" t="inlineStr">
        <is>
          <t>Світ кави</t>
        </is>
      </c>
      <c r="C63" s="10" t="inlineStr">
        <is>
          <t>Львів</t>
        </is>
      </c>
      <c r="D63" s="11" t="inlineStr"/>
      <c r="E63" s="11" t="inlineStr"/>
      <c r="F63" s="12" t="inlineStr">
        <is>
          <t>https://svitkavy.com/</t>
        </is>
      </c>
      <c r="G63" s="13" t="inlineStr">
        <is>
          <t>📍</t>
        </is>
      </c>
      <c r="H63" s="11" t="inlineStr"/>
      <c r="I63" s="11" t="inlineStr"/>
      <c r="J63" s="14" t="inlineStr">
        <is>
          <t>🌐 Є сайт</t>
        </is>
      </c>
      <c r="K63" s="15" t="inlineStr">
        <is>
          <t>✅</t>
        </is>
      </c>
      <c r="L63" s="16" t="inlineStr">
        <is>
          <t>❌</t>
        </is>
      </c>
      <c r="M63" s="17" t="inlineStr">
        <is>
          <t>🟡 B</t>
        </is>
      </c>
      <c r="N63" s="10" t="inlineStr"/>
      <c r="O63" s="10" t="inlineStr"/>
      <c r="P63" s="11" t="inlineStr"/>
      <c r="Q63" s="11" t="inlineStr"/>
      <c r="R63" s="18" t="n"/>
      <c r="S63" s="11" t="inlineStr"/>
      <c r="T63" s="19" t="inlineStr">
        <is>
          <t>🟡 Новий</t>
        </is>
      </c>
      <c r="U63" s="10" t="inlineStr"/>
      <c r="V63" s="18" t="n"/>
      <c r="W63" s="10" t="inlineStr"/>
    </row>
    <row r="64" ht="20" customHeight="1">
      <c r="A64" s="20" t="n">
        <v>62</v>
      </c>
      <c r="B64" s="21" t="inlineStr">
        <is>
          <t>Тедді</t>
        </is>
      </c>
      <c r="C64" s="21" t="inlineStr">
        <is>
          <t>Львів</t>
        </is>
      </c>
      <c r="D64" s="23" t="inlineStr"/>
      <c r="E64" s="23" t="inlineStr"/>
      <c r="F64" s="24" t="inlineStr">
        <is>
          <t>http://@teddy.restaurant</t>
        </is>
      </c>
      <c r="G64" s="25" t="inlineStr">
        <is>
          <t>📍</t>
        </is>
      </c>
      <c r="H64" s="23" t="inlineStr"/>
      <c r="I64" s="23" t="inlineStr"/>
      <c r="J64" s="14" t="inlineStr">
        <is>
          <t>🌐 Є сайт</t>
        </is>
      </c>
      <c r="K64" s="26" t="inlineStr">
        <is>
          <t>✅</t>
        </is>
      </c>
      <c r="L64" s="27" t="inlineStr">
        <is>
          <t>❌</t>
        </is>
      </c>
      <c r="M64" s="17" t="inlineStr">
        <is>
          <t>🟡 B</t>
        </is>
      </c>
      <c r="N64" s="21" t="inlineStr"/>
      <c r="O64" s="21" t="inlineStr"/>
      <c r="P64" s="23" t="inlineStr"/>
      <c r="Q64" s="23" t="inlineStr"/>
      <c r="R64" s="28" t="n"/>
      <c r="S64" s="23" t="inlineStr"/>
      <c r="T64" s="19" t="inlineStr">
        <is>
          <t>🟡 Новий</t>
        </is>
      </c>
      <c r="U64" s="21" t="inlineStr"/>
      <c r="V64" s="28" t="n"/>
      <c r="W64" s="21" t="inlineStr"/>
    </row>
    <row r="65" ht="20" customHeight="1">
      <c r="A65" s="9" t="n">
        <v>63</v>
      </c>
      <c r="B65" s="10" t="inlineStr">
        <is>
          <t>Теплий п'єц</t>
        </is>
      </c>
      <c r="C65" s="10" t="inlineStr">
        <is>
          <t>вул. Староєврейська вулиця, 50, Львів</t>
        </is>
      </c>
      <c r="D65" s="33" t="inlineStr">
        <is>
          <t>+380 98 732 1414</t>
        </is>
      </c>
      <c r="E65" s="11" t="inlineStr"/>
      <c r="F65" s="12" t="inlineStr">
        <is>
          <t>https://www.facebook.com/teplyipyets.lviv</t>
        </is>
      </c>
      <c r="G65" s="13" t="inlineStr">
        <is>
          <t>📍</t>
        </is>
      </c>
      <c r="H65" s="11" t="inlineStr"/>
      <c r="I65" s="11" t="inlineStr"/>
      <c r="J65" s="14" t="inlineStr">
        <is>
          <t>🌐 Є сайт</t>
        </is>
      </c>
      <c r="K65" s="15" t="inlineStr">
        <is>
          <t>✅</t>
        </is>
      </c>
      <c r="L65" s="16" t="inlineStr">
        <is>
          <t>❌</t>
        </is>
      </c>
      <c r="M65" s="17" t="inlineStr">
        <is>
          <t>🟡 B</t>
        </is>
      </c>
      <c r="N65" s="10" t="inlineStr"/>
      <c r="O65" s="10" t="inlineStr"/>
      <c r="P65" s="11" t="inlineStr"/>
      <c r="Q65" s="11" t="inlineStr"/>
      <c r="R65" s="18" t="n"/>
      <c r="S65" s="11" t="inlineStr"/>
      <c r="T65" s="19" t="inlineStr">
        <is>
          <t>🟡 Новий</t>
        </is>
      </c>
      <c r="U65" s="10" t="inlineStr"/>
      <c r="V65" s="18" t="n"/>
      <c r="W65" s="10" t="inlineStr"/>
    </row>
    <row r="66" ht="20" customHeight="1">
      <c r="A66" s="20" t="n">
        <v>64</v>
      </c>
      <c r="B66" s="21" t="inlineStr">
        <is>
          <t>Тирамису</t>
        </is>
      </c>
      <c r="C66" s="21" t="inlineStr">
        <is>
          <t>Львів</t>
        </is>
      </c>
      <c r="D66" s="22" t="inlineStr">
        <is>
          <t>+380 50 239 3400</t>
        </is>
      </c>
      <c r="E66" s="23" t="inlineStr"/>
      <c r="F66" s="24" t="inlineStr">
        <is>
          <t>https://cafetiramisu.com.ua/</t>
        </is>
      </c>
      <c r="G66" s="25" t="inlineStr">
        <is>
          <t>📍</t>
        </is>
      </c>
      <c r="H66" s="23" t="inlineStr"/>
      <c r="I66" s="23" t="inlineStr"/>
      <c r="J66" s="14" t="inlineStr">
        <is>
          <t>🌐 Є сайт</t>
        </is>
      </c>
      <c r="K66" s="26" t="inlineStr">
        <is>
          <t>✅</t>
        </is>
      </c>
      <c r="L66" s="27" t="inlineStr">
        <is>
          <t>❌</t>
        </is>
      </c>
      <c r="M66" s="17" t="inlineStr">
        <is>
          <t>🟡 B</t>
        </is>
      </c>
      <c r="N66" s="21" t="inlineStr"/>
      <c r="O66" s="21" t="inlineStr"/>
      <c r="P66" s="23" t="inlineStr"/>
      <c r="Q66" s="23" t="inlineStr"/>
      <c r="R66" s="28" t="n"/>
      <c r="S66" s="23" t="inlineStr"/>
      <c r="T66" s="19" t="inlineStr">
        <is>
          <t>🟡 Новий</t>
        </is>
      </c>
      <c r="U66" s="21" t="inlineStr"/>
      <c r="V66" s="28" t="n"/>
      <c r="W66" s="21" t="inlineStr"/>
    </row>
    <row r="67" ht="20" customHeight="1">
      <c r="A67" s="9" t="n">
        <v>65</v>
      </c>
      <c r="B67" s="10" t="inlineStr">
        <is>
          <t>Товариство</t>
        </is>
      </c>
      <c r="C67" s="10" t="inlineStr">
        <is>
          <t>вул. Пекарська вулиця, 11, Львів</t>
        </is>
      </c>
      <c r="D67" s="11" t="inlineStr"/>
      <c r="E67" s="11" t="inlineStr"/>
      <c r="F67" s="12" t="inlineStr">
        <is>
          <t>https://linktr.ee/tovarystvo</t>
        </is>
      </c>
      <c r="G67" s="13" t="inlineStr">
        <is>
          <t>📍</t>
        </is>
      </c>
      <c r="H67" s="11" t="inlineStr"/>
      <c r="I67" s="11" t="inlineStr"/>
      <c r="J67" s="14" t="inlineStr">
        <is>
          <t>🌐 Є сайт</t>
        </is>
      </c>
      <c r="K67" s="15" t="inlineStr">
        <is>
          <t>✅</t>
        </is>
      </c>
      <c r="L67" s="16" t="inlineStr">
        <is>
          <t>❌</t>
        </is>
      </c>
      <c r="M67" s="17" t="inlineStr">
        <is>
          <t>🟡 B</t>
        </is>
      </c>
      <c r="N67" s="10" t="inlineStr"/>
      <c r="O67" s="10" t="inlineStr"/>
      <c r="P67" s="11" t="inlineStr"/>
      <c r="Q67" s="11" t="inlineStr"/>
      <c r="R67" s="18" t="n"/>
      <c r="S67" s="11" t="inlineStr"/>
      <c r="T67" s="19" t="inlineStr">
        <is>
          <t>🟡 Новий</t>
        </is>
      </c>
      <c r="U67" s="10" t="inlineStr"/>
      <c r="V67" s="18" t="n"/>
      <c r="W67" s="10" t="inlineStr"/>
    </row>
    <row r="68" ht="20" customHeight="1">
      <c r="A68" s="20" t="n">
        <v>66</v>
      </c>
      <c r="B68" s="21" t="inlineStr">
        <is>
          <t>Третє місце</t>
        </is>
      </c>
      <c r="C68" s="21" t="inlineStr">
        <is>
          <t>вул. вулиця Героїв Майдану, 10, Львів</t>
        </is>
      </c>
      <c r="D68" s="22" t="inlineStr">
        <is>
          <t>+380963471918</t>
        </is>
      </c>
      <c r="E68" s="23" t="inlineStr"/>
      <c r="F68" s="24" t="inlineStr">
        <is>
          <t>https://tretyemistselviv.choiceqr.com</t>
        </is>
      </c>
      <c r="G68" s="25" t="inlineStr">
        <is>
          <t>📍</t>
        </is>
      </c>
      <c r="H68" s="23" t="inlineStr"/>
      <c r="I68" s="23" t="inlineStr"/>
      <c r="J68" s="14" t="inlineStr">
        <is>
          <t>🌐 Є сайт</t>
        </is>
      </c>
      <c r="K68" s="26" t="inlineStr">
        <is>
          <t>✅</t>
        </is>
      </c>
      <c r="L68" s="27" t="inlineStr">
        <is>
          <t>❌</t>
        </is>
      </c>
      <c r="M68" s="17" t="inlineStr">
        <is>
          <t>🟡 B</t>
        </is>
      </c>
      <c r="N68" s="21" t="inlineStr"/>
      <c r="O68" s="21" t="inlineStr"/>
      <c r="P68" s="23" t="inlineStr"/>
      <c r="Q68" s="23" t="inlineStr"/>
      <c r="R68" s="28" t="n"/>
      <c r="S68" s="23" t="inlineStr"/>
      <c r="T68" s="19" t="inlineStr">
        <is>
          <t>🟡 Новий</t>
        </is>
      </c>
      <c r="U68" s="21" t="inlineStr"/>
      <c r="V68" s="28" t="n"/>
      <c r="W68" s="21" t="inlineStr"/>
    </row>
    <row r="69" ht="20" customHeight="1">
      <c r="A69" s="9" t="n">
        <v>67</v>
      </c>
      <c r="B69" s="10" t="inlineStr">
        <is>
          <t>Фацет</t>
        </is>
      </c>
      <c r="C69" s="10" t="inlineStr">
        <is>
          <t>вул. Вірменська вулиця, 28, Львів</t>
        </is>
      </c>
      <c r="D69" s="33" t="inlineStr">
        <is>
          <t>+380 67 949 0548</t>
        </is>
      </c>
      <c r="E69" s="11" t="inlineStr"/>
      <c r="F69" s="12" t="inlineStr">
        <is>
          <t>https://www.facebook.com/facet.lviv</t>
        </is>
      </c>
      <c r="G69" s="13" t="inlineStr">
        <is>
          <t>📍</t>
        </is>
      </c>
      <c r="H69" s="11" t="inlineStr"/>
      <c r="I69" s="11" t="inlineStr"/>
      <c r="J69" s="14" t="inlineStr">
        <is>
          <t>🌐 Є сайт</t>
        </is>
      </c>
      <c r="K69" s="15" t="inlineStr">
        <is>
          <t>✅</t>
        </is>
      </c>
      <c r="L69" s="16" t="inlineStr">
        <is>
          <t>❌</t>
        </is>
      </c>
      <c r="M69" s="17" t="inlineStr">
        <is>
          <t>🟡 B</t>
        </is>
      </c>
      <c r="N69" s="10" t="inlineStr"/>
      <c r="O69" s="10" t="inlineStr"/>
      <c r="P69" s="11" t="inlineStr"/>
      <c r="Q69" s="11" t="inlineStr"/>
      <c r="R69" s="18" t="n"/>
      <c r="S69" s="11" t="inlineStr"/>
      <c r="T69" s="19" t="inlineStr">
        <is>
          <t>🟡 Новий</t>
        </is>
      </c>
      <c r="U69" s="10" t="inlineStr"/>
      <c r="V69" s="18" t="n"/>
      <c r="W69" s="10" t="inlineStr"/>
    </row>
    <row r="70" ht="20" customHeight="1">
      <c r="A70" s="20" t="n">
        <v>68</v>
      </c>
      <c r="B70" s="21" t="inlineStr">
        <is>
          <t>Х-бар</t>
        </is>
      </c>
      <c r="C70" s="21" t="inlineStr">
        <is>
          <t>Львів</t>
        </is>
      </c>
      <c r="D70" s="22" t="inlineStr">
        <is>
          <t>+380 67 337 4040</t>
        </is>
      </c>
      <c r="E70" s="23" t="inlineStr"/>
      <c r="F70" s="24" t="inlineStr">
        <is>
          <t>http://xbar.com.ua</t>
        </is>
      </c>
      <c r="G70" s="25" t="inlineStr">
        <is>
          <t>📍</t>
        </is>
      </c>
      <c r="H70" s="23" t="inlineStr"/>
      <c r="I70" s="23" t="inlineStr"/>
      <c r="J70" s="14" t="inlineStr">
        <is>
          <t>🌐 Є сайт</t>
        </is>
      </c>
      <c r="K70" s="26" t="inlineStr">
        <is>
          <t>✅</t>
        </is>
      </c>
      <c r="L70" s="27" t="inlineStr">
        <is>
          <t>❌</t>
        </is>
      </c>
      <c r="M70" s="17" t="inlineStr">
        <is>
          <t>🟡 B</t>
        </is>
      </c>
      <c r="N70" s="21" t="inlineStr"/>
      <c r="O70" s="21" t="inlineStr"/>
      <c r="P70" s="23" t="inlineStr"/>
      <c r="Q70" s="23" t="inlineStr"/>
      <c r="R70" s="28" t="n"/>
      <c r="S70" s="23" t="inlineStr"/>
      <c r="T70" s="19" t="inlineStr">
        <is>
          <t>🟡 Новий</t>
        </is>
      </c>
      <c r="U70" s="21" t="inlineStr"/>
      <c r="V70" s="28" t="n"/>
      <c r="W70" s="21" t="inlineStr"/>
    </row>
    <row r="71" ht="20" customHeight="1">
      <c r="A71" s="9" t="n">
        <v>69</v>
      </c>
      <c r="B71" s="10" t="inlineStr">
        <is>
          <t>Цукерня</t>
        </is>
      </c>
      <c r="C71" s="10" t="inlineStr">
        <is>
          <t>Львів</t>
        </is>
      </c>
      <c r="D71" s="33" t="inlineStr">
        <is>
          <t>+380 322 35 6949</t>
        </is>
      </c>
      <c r="E71" s="11" t="inlineStr"/>
      <c r="F71" s="12" t="inlineStr">
        <is>
          <t>https://www.facebook.com/pg/cukiernia.lviv</t>
        </is>
      </c>
      <c r="G71" s="13" t="inlineStr">
        <is>
          <t>📍</t>
        </is>
      </c>
      <c r="H71" s="11" t="inlineStr"/>
      <c r="I71" s="11" t="inlineStr"/>
      <c r="J71" s="14" t="inlineStr">
        <is>
          <t>🌐 Є сайт</t>
        </is>
      </c>
      <c r="K71" s="15" t="inlineStr">
        <is>
          <t>✅</t>
        </is>
      </c>
      <c r="L71" s="16" t="inlineStr">
        <is>
          <t>❌</t>
        </is>
      </c>
      <c r="M71" s="17" t="inlineStr">
        <is>
          <t>🟡 B</t>
        </is>
      </c>
      <c r="N71" s="10" t="inlineStr"/>
      <c r="O71" s="10" t="inlineStr"/>
      <c r="P71" s="11" t="inlineStr"/>
      <c r="Q71" s="11" t="inlineStr"/>
      <c r="R71" s="18" t="n"/>
      <c r="S71" s="11" t="inlineStr"/>
      <c r="T71" s="19" t="inlineStr">
        <is>
          <t>🟡 Новий</t>
        </is>
      </c>
      <c r="U71" s="10" t="inlineStr"/>
      <c r="V71" s="18" t="n"/>
      <c r="W71" s="10" t="inlineStr"/>
    </row>
    <row r="72" ht="20" customHeight="1">
      <c r="A72" s="20" t="n">
        <v>70</v>
      </c>
      <c r="B72" s="21" t="inlineStr">
        <is>
          <t>Цікава</t>
        </is>
      </c>
      <c r="C72" s="21" t="inlineStr">
        <is>
          <t>Львів</t>
        </is>
      </c>
      <c r="D72" s="23" t="inlineStr"/>
      <c r="E72" s="23" t="inlineStr"/>
      <c r="F72" s="24" t="inlineStr">
        <is>
          <t>https://tsikava.com.ua/</t>
        </is>
      </c>
      <c r="G72" s="25" t="inlineStr">
        <is>
          <t>📍</t>
        </is>
      </c>
      <c r="H72" s="23" t="inlineStr"/>
      <c r="I72" s="23" t="inlineStr"/>
      <c r="J72" s="14" t="inlineStr">
        <is>
          <t>🌐 Є сайт</t>
        </is>
      </c>
      <c r="K72" s="26" t="inlineStr">
        <is>
          <t>✅</t>
        </is>
      </c>
      <c r="L72" s="27" t="inlineStr">
        <is>
          <t>❌</t>
        </is>
      </c>
      <c r="M72" s="17" t="inlineStr">
        <is>
          <t>🟡 B</t>
        </is>
      </c>
      <c r="N72" s="21" t="inlineStr"/>
      <c r="O72" s="21" t="inlineStr"/>
      <c r="P72" s="23" t="inlineStr"/>
      <c r="Q72" s="23" t="inlineStr"/>
      <c r="R72" s="28" t="n"/>
      <c r="S72" s="23" t="inlineStr"/>
      <c r="T72" s="19" t="inlineStr">
        <is>
          <t>🟡 Новий</t>
        </is>
      </c>
      <c r="U72" s="21" t="inlineStr"/>
      <c r="V72" s="28" t="n"/>
      <c r="W72" s="21" t="inlineStr"/>
    </row>
    <row r="73" ht="20" customHeight="1">
      <c r="A73" s="9" t="n">
        <v>71</v>
      </c>
      <c r="B73" s="10" t="inlineStr">
        <is>
          <t>Шампанерія "Хачапурі &amp; Хот дог"</t>
        </is>
      </c>
      <c r="C73" s="10" t="inlineStr">
        <is>
          <t>Львів</t>
        </is>
      </c>
      <c r="D73" s="33" t="inlineStr">
        <is>
          <t>+380 322 35 8163</t>
        </is>
      </c>
      <c r="E73" s="11" t="inlineStr"/>
      <c r="F73" s="12" t="inlineStr">
        <is>
          <t>http://champagneria.lviv.ua/</t>
        </is>
      </c>
      <c r="G73" s="13" t="inlineStr">
        <is>
          <t>📍</t>
        </is>
      </c>
      <c r="H73" s="11" t="inlineStr"/>
      <c r="I73" s="11" t="inlineStr"/>
      <c r="J73" s="14" t="inlineStr">
        <is>
          <t>🌐 Є сайт</t>
        </is>
      </c>
      <c r="K73" s="15" t="inlineStr">
        <is>
          <t>✅</t>
        </is>
      </c>
      <c r="L73" s="16" t="inlineStr">
        <is>
          <t>❌</t>
        </is>
      </c>
      <c r="M73" s="17" t="inlineStr">
        <is>
          <t>🟡 B</t>
        </is>
      </c>
      <c r="N73" s="10" t="inlineStr"/>
      <c r="O73" s="10" t="inlineStr"/>
      <c r="P73" s="11" t="inlineStr"/>
      <c r="Q73" s="11" t="inlineStr"/>
      <c r="R73" s="18" t="n"/>
      <c r="S73" s="11" t="inlineStr"/>
      <c r="T73" s="19" t="inlineStr">
        <is>
          <t>🟡 Новий</t>
        </is>
      </c>
      <c r="U73" s="10" t="inlineStr"/>
      <c r="V73" s="18" t="n"/>
      <c r="W73" s="10" t="inlineStr"/>
    </row>
    <row r="74" ht="20" customHeight="1">
      <c r="A74" s="20" t="n">
        <v>72</v>
      </c>
      <c r="B74" s="21" t="inlineStr">
        <is>
          <t>Шкоцька (Шотландська) кавʼярня</t>
        </is>
      </c>
      <c r="C74" s="21" t="inlineStr">
        <is>
          <t>Львів</t>
        </is>
      </c>
      <c r="D74" s="22" t="inlineStr">
        <is>
          <t>+38 (032) 261 476 5</t>
        </is>
      </c>
      <c r="E74" s="23" t="inlineStr"/>
      <c r="F74" s="24" t="inlineStr">
        <is>
          <t>https://szkocka.com.ua/</t>
        </is>
      </c>
      <c r="G74" s="25" t="inlineStr">
        <is>
          <t>📍</t>
        </is>
      </c>
      <c r="H74" s="23" t="inlineStr"/>
      <c r="I74" s="23" t="inlineStr"/>
      <c r="J74" s="14" t="inlineStr">
        <is>
          <t>🌐 Є сайт</t>
        </is>
      </c>
      <c r="K74" s="26" t="inlineStr">
        <is>
          <t>✅</t>
        </is>
      </c>
      <c r="L74" s="27" t="inlineStr">
        <is>
          <t>❌</t>
        </is>
      </c>
      <c r="M74" s="17" t="inlineStr">
        <is>
          <t>🟡 B</t>
        </is>
      </c>
      <c r="N74" s="21" t="inlineStr"/>
      <c r="O74" s="21" t="inlineStr"/>
      <c r="P74" s="23" t="inlineStr"/>
      <c r="Q74" s="23" t="inlineStr"/>
      <c r="R74" s="28" t="n"/>
      <c r="S74" s="23" t="inlineStr"/>
      <c r="T74" s="19" t="inlineStr">
        <is>
          <t>🟡 Новий</t>
        </is>
      </c>
      <c r="U74" s="21" t="inlineStr"/>
      <c r="V74" s="28" t="n"/>
      <c r="W74" s="21" t="inlineStr"/>
    </row>
    <row r="75" ht="20" customHeight="1">
      <c r="A75" s="9" t="n">
        <v>73</v>
      </c>
      <c r="B75" s="10" t="inlineStr">
        <is>
          <t>піцерія Леонардо</t>
        </is>
      </c>
      <c r="C75" s="10" t="inlineStr">
        <is>
          <t>вул. Стрийська вулиця, 106а, Львів</t>
        </is>
      </c>
      <c r="D75" s="33" t="inlineStr">
        <is>
          <t>+380 98 080 5004</t>
        </is>
      </c>
      <c r="E75" s="11" t="inlineStr"/>
      <c r="F75" s="12" t="inlineStr">
        <is>
          <t>https://pizza-leonardo.com.ua/</t>
        </is>
      </c>
      <c r="G75" s="13" t="inlineStr">
        <is>
          <t>📍</t>
        </is>
      </c>
      <c r="H75" s="11" t="inlineStr"/>
      <c r="I75" s="11" t="inlineStr"/>
      <c r="J75" s="14" t="inlineStr">
        <is>
          <t>🌐 Є сайт</t>
        </is>
      </c>
      <c r="K75" s="15" t="inlineStr">
        <is>
          <t>✅</t>
        </is>
      </c>
      <c r="L75" s="16" t="inlineStr">
        <is>
          <t>❌</t>
        </is>
      </c>
      <c r="M75" s="17" t="inlineStr">
        <is>
          <t>🟡 B</t>
        </is>
      </c>
      <c r="N75" s="10" t="inlineStr"/>
      <c r="O75" s="10" t="inlineStr"/>
      <c r="P75" s="11" t="inlineStr"/>
      <c r="Q75" s="11" t="inlineStr"/>
      <c r="R75" s="18" t="n"/>
      <c r="S75" s="11" t="inlineStr"/>
      <c r="T75" s="19" t="inlineStr">
        <is>
          <t>🟡 Новий</t>
        </is>
      </c>
      <c r="U75" s="10" t="inlineStr"/>
      <c r="V75" s="18" t="n"/>
      <c r="W75" s="10" t="inlineStr"/>
    </row>
    <row r="76" ht="20" customHeight="1">
      <c r="A76" s="20" t="n">
        <v>74</v>
      </c>
      <c r="B76" s="21" t="inlineStr">
        <is>
          <t>2cups</t>
        </is>
      </c>
      <c r="C76" s="21" t="inlineStr">
        <is>
          <t>вул. Зелена вулиця, 42, Львів</t>
        </is>
      </c>
      <c r="D76" s="22" t="inlineStr">
        <is>
          <t>+380 67 271 0727</t>
        </is>
      </c>
      <c r="E76" s="31" t="inlineStr">
        <is>
          <t>@instagram.com/2cups_lviv</t>
        </is>
      </c>
      <c r="F76" s="23" t="inlineStr"/>
      <c r="G76" s="25" t="inlineStr">
        <is>
          <t>📍</t>
        </is>
      </c>
      <c r="H76" s="23" t="inlineStr"/>
      <c r="I76" s="23" t="inlineStr"/>
      <c r="J76" s="36" t="inlineStr">
        <is>
          <t>📸 Instagram тільки</t>
        </is>
      </c>
      <c r="K76" s="37" t="inlineStr">
        <is>
          <t>❌</t>
        </is>
      </c>
      <c r="L76" s="32" t="inlineStr">
        <is>
          <t>✅</t>
        </is>
      </c>
      <c r="M76" s="38" t="inlineStr">
        <is>
          <t>🟢 A</t>
        </is>
      </c>
      <c r="N76" s="21" t="inlineStr"/>
      <c r="O76" s="21" t="inlineStr"/>
      <c r="P76" s="23" t="inlineStr">
        <is>
          <t>—</t>
        </is>
      </c>
      <c r="Q76" s="23" t="inlineStr"/>
      <c r="R76" s="28" t="n"/>
      <c r="S76" s="23" t="inlineStr"/>
      <c r="T76" s="19" t="inlineStr">
        <is>
          <t>🟡 Новий</t>
        </is>
      </c>
      <c r="U76" s="21" t="inlineStr"/>
      <c r="V76" s="28" t="n"/>
      <c r="W76" s="21" t="inlineStr"/>
    </row>
    <row r="77" ht="20" customHeight="1">
      <c r="A77" s="9" t="n">
        <v>75</v>
      </c>
      <c r="B77" s="10" t="inlineStr">
        <is>
          <t>Bread Піч</t>
        </is>
      </c>
      <c r="C77" s="10" t="inlineStr">
        <is>
          <t>вул. Тернопільська вулиця, 21е, Львів</t>
        </is>
      </c>
      <c r="D77" s="33" t="inlineStr">
        <is>
          <t>+380 67 363 1716</t>
        </is>
      </c>
      <c r="E77" s="34" t="inlineStr">
        <is>
          <t>@breadpich</t>
        </is>
      </c>
      <c r="F77" s="11" t="inlineStr"/>
      <c r="G77" s="13" t="inlineStr">
        <is>
          <t>📍</t>
        </is>
      </c>
      <c r="H77" s="11" t="inlineStr"/>
      <c r="I77" s="11" t="inlineStr"/>
      <c r="J77" s="36" t="inlineStr">
        <is>
          <t>📸 Instagram тільки</t>
        </is>
      </c>
      <c r="K77" s="39" t="inlineStr">
        <is>
          <t>❌</t>
        </is>
      </c>
      <c r="L77" s="35" t="inlineStr">
        <is>
          <t>✅</t>
        </is>
      </c>
      <c r="M77" s="38" t="inlineStr">
        <is>
          <t>🟢 A</t>
        </is>
      </c>
      <c r="N77" s="10" t="inlineStr"/>
      <c r="O77" s="10" t="inlineStr"/>
      <c r="P77" s="11" t="inlineStr">
        <is>
          <t>—</t>
        </is>
      </c>
      <c r="Q77" s="11" t="inlineStr"/>
      <c r="R77" s="18" t="n"/>
      <c r="S77" s="11" t="inlineStr"/>
      <c r="T77" s="19" t="inlineStr">
        <is>
          <t>🟡 Новий</t>
        </is>
      </c>
      <c r="U77" s="10" t="inlineStr"/>
      <c r="V77" s="18" t="n"/>
      <c r="W77" s="10" t="inlineStr"/>
    </row>
    <row r="78" ht="20" customHeight="1">
      <c r="A78" s="20" t="n">
        <v>76</v>
      </c>
      <c r="B78" s="21" t="inlineStr">
        <is>
          <t>CODE</t>
        </is>
      </c>
      <c r="C78" s="21" t="inlineStr">
        <is>
          <t>Львів</t>
        </is>
      </c>
      <c r="D78" s="23" t="inlineStr"/>
      <c r="E78" s="31" t="inlineStr">
        <is>
          <t>@codecoffe.lviv</t>
        </is>
      </c>
      <c r="F78" s="23" t="inlineStr"/>
      <c r="G78" s="25" t="inlineStr">
        <is>
          <t>📍</t>
        </is>
      </c>
      <c r="H78" s="23" t="inlineStr"/>
      <c r="I78" s="23" t="inlineStr"/>
      <c r="J78" s="36" t="inlineStr">
        <is>
          <t>📸 Instagram тільки</t>
        </is>
      </c>
      <c r="K78" s="37" t="inlineStr">
        <is>
          <t>❌</t>
        </is>
      </c>
      <c r="L78" s="32" t="inlineStr">
        <is>
          <t>✅</t>
        </is>
      </c>
      <c r="M78" s="38" t="inlineStr">
        <is>
          <t>🟢 A</t>
        </is>
      </c>
      <c r="N78" s="21" t="inlineStr"/>
      <c r="O78" s="21" t="inlineStr"/>
      <c r="P78" s="23" t="inlineStr">
        <is>
          <t>—</t>
        </is>
      </c>
      <c r="Q78" s="23" t="inlineStr"/>
      <c r="R78" s="28" t="n"/>
      <c r="S78" s="23" t="inlineStr"/>
      <c r="T78" s="19" t="inlineStr">
        <is>
          <t>🟡 Новий</t>
        </is>
      </c>
      <c r="U78" s="21" t="inlineStr"/>
      <c r="V78" s="28" t="n"/>
      <c r="W78" s="21" t="inlineStr"/>
    </row>
    <row r="79" ht="20" customHeight="1">
      <c r="A79" s="9" t="n">
        <v>77</v>
      </c>
      <c r="B79" s="10" t="inlineStr">
        <is>
          <t>FOLKS + BEANS</t>
        </is>
      </c>
      <c r="C79" s="10" t="inlineStr">
        <is>
          <t>вул. Пекарська вулиця, 5, Львів</t>
        </is>
      </c>
      <c r="D79" s="33" t="inlineStr">
        <is>
          <t>+380 68 14 56 388</t>
        </is>
      </c>
      <c r="E79" s="34" t="inlineStr">
        <is>
          <t>@folksandbeans</t>
        </is>
      </c>
      <c r="F79" s="11" t="inlineStr"/>
      <c r="G79" s="13" t="inlineStr">
        <is>
          <t>📍</t>
        </is>
      </c>
      <c r="H79" s="11" t="inlineStr"/>
      <c r="I79" s="11" t="inlineStr"/>
      <c r="J79" s="36" t="inlineStr">
        <is>
          <t>📸 Instagram тільки</t>
        </is>
      </c>
      <c r="K79" s="39" t="inlineStr">
        <is>
          <t>❌</t>
        </is>
      </c>
      <c r="L79" s="35" t="inlineStr">
        <is>
          <t>✅</t>
        </is>
      </c>
      <c r="M79" s="38" t="inlineStr">
        <is>
          <t>🟢 A</t>
        </is>
      </c>
      <c r="N79" s="10" t="inlineStr"/>
      <c r="O79" s="10" t="inlineStr"/>
      <c r="P79" s="11" t="inlineStr">
        <is>
          <t>—</t>
        </is>
      </c>
      <c r="Q79" s="11" t="inlineStr"/>
      <c r="R79" s="18" t="n"/>
      <c r="S79" s="11" t="inlineStr"/>
      <c r="T79" s="19" t="inlineStr">
        <is>
          <t>🟡 Новий</t>
        </is>
      </c>
      <c r="U79" s="10" t="inlineStr"/>
      <c r="V79" s="18" t="n"/>
      <c r="W79" s="10" t="inlineStr"/>
    </row>
    <row r="80" ht="20" customHeight="1">
      <c r="A80" s="20" t="n">
        <v>78</v>
      </c>
      <c r="B80" s="21" t="inlineStr">
        <is>
          <t>Florry - квіти і кава</t>
        </is>
      </c>
      <c r="C80" s="21" t="inlineStr">
        <is>
          <t>вул. Кульпарківська вулиця, 93, Львів</t>
        </is>
      </c>
      <c r="D80" s="22" t="inlineStr">
        <is>
          <t>+380739777808</t>
        </is>
      </c>
      <c r="E80" s="31" t="inlineStr">
        <is>
          <t>@florry.lviv</t>
        </is>
      </c>
      <c r="F80" s="23" t="inlineStr"/>
      <c r="G80" s="25" t="inlineStr">
        <is>
          <t>📍</t>
        </is>
      </c>
      <c r="H80" s="23" t="inlineStr"/>
      <c r="I80" s="23" t="inlineStr"/>
      <c r="J80" s="36" t="inlineStr">
        <is>
          <t>📸 Instagram тільки</t>
        </is>
      </c>
      <c r="K80" s="37" t="inlineStr">
        <is>
          <t>❌</t>
        </is>
      </c>
      <c r="L80" s="32" t="inlineStr">
        <is>
          <t>✅</t>
        </is>
      </c>
      <c r="M80" s="38" t="inlineStr">
        <is>
          <t>🟢 A</t>
        </is>
      </c>
      <c r="N80" s="21" t="inlineStr"/>
      <c r="O80" s="21" t="inlineStr"/>
      <c r="P80" s="23" t="inlineStr">
        <is>
          <t>—</t>
        </is>
      </c>
      <c r="Q80" s="23" t="inlineStr"/>
      <c r="R80" s="28" t="n"/>
      <c r="S80" s="23" t="inlineStr"/>
      <c r="T80" s="19" t="inlineStr">
        <is>
          <t>🟡 Новий</t>
        </is>
      </c>
      <c r="U80" s="21" t="inlineStr"/>
      <c r="V80" s="28" t="n"/>
      <c r="W80" s="21" t="inlineStr"/>
    </row>
    <row r="81" ht="20" customHeight="1">
      <c r="A81" s="9" t="n">
        <v>79</v>
      </c>
      <c r="B81" s="10" t="inlineStr">
        <is>
          <t>For You Coffee</t>
        </is>
      </c>
      <c r="C81" s="10" t="inlineStr">
        <is>
          <t>Львів</t>
        </is>
      </c>
      <c r="D81" s="11" t="inlineStr"/>
      <c r="E81" s="34" t="inlineStr">
        <is>
          <t>@4youcoffe</t>
        </is>
      </c>
      <c r="F81" s="11" t="inlineStr"/>
      <c r="G81" s="13" t="inlineStr">
        <is>
          <t>📍</t>
        </is>
      </c>
      <c r="H81" s="11" t="inlineStr"/>
      <c r="I81" s="11" t="inlineStr"/>
      <c r="J81" s="36" t="inlineStr">
        <is>
          <t>📸 Instagram тільки</t>
        </is>
      </c>
      <c r="K81" s="39" t="inlineStr">
        <is>
          <t>❌</t>
        </is>
      </c>
      <c r="L81" s="35" t="inlineStr">
        <is>
          <t>✅</t>
        </is>
      </c>
      <c r="M81" s="38" t="inlineStr">
        <is>
          <t>🟢 A</t>
        </is>
      </c>
      <c r="N81" s="10" t="inlineStr"/>
      <c r="O81" s="10" t="inlineStr"/>
      <c r="P81" s="11" t="inlineStr">
        <is>
          <t>—</t>
        </is>
      </c>
      <c r="Q81" s="11" t="inlineStr"/>
      <c r="R81" s="18" t="n"/>
      <c r="S81" s="11" t="inlineStr"/>
      <c r="T81" s="19" t="inlineStr">
        <is>
          <t>🟡 Новий</t>
        </is>
      </c>
      <c r="U81" s="10" t="inlineStr"/>
      <c r="V81" s="18" t="n"/>
      <c r="W81" s="10" t="inlineStr"/>
    </row>
    <row r="82" ht="20" customHeight="1">
      <c r="A82" s="20" t="n">
        <v>80</v>
      </c>
      <c r="B82" s="21" t="inlineStr">
        <is>
          <t>Mitte</t>
        </is>
      </c>
      <c r="C82" s="21" t="inlineStr">
        <is>
          <t>Львів</t>
        </is>
      </c>
      <c r="D82" s="23" t="inlineStr"/>
      <c r="E82" s="31" t="inlineStr">
        <is>
          <t>@mitte.coffee</t>
        </is>
      </c>
      <c r="F82" s="23" t="inlineStr"/>
      <c r="G82" s="25" t="inlineStr">
        <is>
          <t>📍</t>
        </is>
      </c>
      <c r="H82" s="23" t="inlineStr"/>
      <c r="I82" s="23" t="inlineStr"/>
      <c r="J82" s="36" t="inlineStr">
        <is>
          <t>📸 Instagram тільки</t>
        </is>
      </c>
      <c r="K82" s="37" t="inlineStr">
        <is>
          <t>❌</t>
        </is>
      </c>
      <c r="L82" s="32" t="inlineStr">
        <is>
          <t>✅</t>
        </is>
      </c>
      <c r="M82" s="38" t="inlineStr">
        <is>
          <t>🟢 A</t>
        </is>
      </c>
      <c r="N82" s="21" t="inlineStr"/>
      <c r="O82" s="21" t="inlineStr"/>
      <c r="P82" s="23" t="inlineStr">
        <is>
          <t>—</t>
        </is>
      </c>
      <c r="Q82" s="23" t="inlineStr"/>
      <c r="R82" s="28" t="n"/>
      <c r="S82" s="23" t="inlineStr"/>
      <c r="T82" s="19" t="inlineStr">
        <is>
          <t>🟡 Новий</t>
        </is>
      </c>
      <c r="U82" s="21" t="inlineStr"/>
      <c r="V82" s="28" t="n"/>
      <c r="W82" s="21" t="inlineStr"/>
    </row>
    <row r="83" ht="20" customHeight="1">
      <c r="A83" s="9" t="n">
        <v>81</v>
      </c>
      <c r="B83" s="10" t="inlineStr">
        <is>
          <t>Resto Friends</t>
        </is>
      </c>
      <c r="C83" s="10" t="inlineStr">
        <is>
          <t>вул. ЖК Парус City, 93/3, Львів</t>
        </is>
      </c>
      <c r="D83" s="33" t="inlineStr">
        <is>
          <t>+380 99 6740018</t>
        </is>
      </c>
      <c r="E83" s="34" t="inlineStr">
        <is>
          <t>@restofriend</t>
        </is>
      </c>
      <c r="F83" s="11" t="inlineStr"/>
      <c r="G83" s="13" t="inlineStr">
        <is>
          <t>📍</t>
        </is>
      </c>
      <c r="H83" s="11" t="inlineStr"/>
      <c r="I83" s="11" t="inlineStr"/>
      <c r="J83" s="36" t="inlineStr">
        <is>
          <t>📸 Instagram тільки</t>
        </is>
      </c>
      <c r="K83" s="39" t="inlineStr">
        <is>
          <t>❌</t>
        </is>
      </c>
      <c r="L83" s="35" t="inlineStr">
        <is>
          <t>✅</t>
        </is>
      </c>
      <c r="M83" s="38" t="inlineStr">
        <is>
          <t>🟢 A</t>
        </is>
      </c>
      <c r="N83" s="10" t="inlineStr"/>
      <c r="O83" s="10" t="inlineStr"/>
      <c r="P83" s="11" t="inlineStr">
        <is>
          <t>—</t>
        </is>
      </c>
      <c r="Q83" s="11" t="inlineStr"/>
      <c r="R83" s="18" t="n"/>
      <c r="S83" s="11" t="inlineStr"/>
      <c r="T83" s="19" t="inlineStr">
        <is>
          <t>🟡 Новий</t>
        </is>
      </c>
      <c r="U83" s="10" t="inlineStr"/>
      <c r="V83" s="18" t="n"/>
      <c r="W83" s="10" t="inlineStr"/>
    </row>
    <row r="84" ht="20" customHeight="1">
      <c r="A84" s="20" t="n">
        <v>82</v>
      </c>
      <c r="B84" s="21" t="inlineStr">
        <is>
          <t>Tempo del Caffe</t>
        </is>
      </c>
      <c r="C84" s="21" t="inlineStr">
        <is>
          <t>вул. Пасічна вулиця, 171, Львів</t>
        </is>
      </c>
      <c r="D84" s="23" t="inlineStr"/>
      <c r="E84" s="31" t="inlineStr">
        <is>
          <t>@tempo_del_cafe</t>
        </is>
      </c>
      <c r="F84" s="23" t="inlineStr"/>
      <c r="G84" s="25" t="inlineStr">
        <is>
          <t>📍</t>
        </is>
      </c>
      <c r="H84" s="23" t="inlineStr"/>
      <c r="I84" s="23" t="inlineStr"/>
      <c r="J84" s="36" t="inlineStr">
        <is>
          <t>📸 Instagram тільки</t>
        </is>
      </c>
      <c r="K84" s="37" t="inlineStr">
        <is>
          <t>❌</t>
        </is>
      </c>
      <c r="L84" s="32" t="inlineStr">
        <is>
          <t>✅</t>
        </is>
      </c>
      <c r="M84" s="38" t="inlineStr">
        <is>
          <t>🟢 A</t>
        </is>
      </c>
      <c r="N84" s="21" t="inlineStr"/>
      <c r="O84" s="21" t="inlineStr"/>
      <c r="P84" s="23" t="inlineStr">
        <is>
          <t>—</t>
        </is>
      </c>
      <c r="Q84" s="23" t="inlineStr"/>
      <c r="R84" s="28" t="n"/>
      <c r="S84" s="23" t="inlineStr"/>
      <c r="T84" s="19" t="inlineStr">
        <is>
          <t>🟡 Новий</t>
        </is>
      </c>
      <c r="U84" s="21" t="inlineStr"/>
      <c r="V84" s="28" t="n"/>
      <c r="W84" s="21" t="inlineStr"/>
    </row>
    <row r="85" ht="20" customHeight="1">
      <c r="A85" s="9" t="n">
        <v>83</v>
      </c>
      <c r="B85" s="10" t="inlineStr">
        <is>
          <t>Tommy</t>
        </is>
      </c>
      <c r="C85" s="10" t="inlineStr">
        <is>
          <t>Львів</t>
        </is>
      </c>
      <c r="D85" s="11" t="inlineStr"/>
      <c r="E85" s="34" t="inlineStr">
        <is>
          <t>@tommy.lviv</t>
        </is>
      </c>
      <c r="F85" s="11" t="inlineStr"/>
      <c r="G85" s="13" t="inlineStr">
        <is>
          <t>📍</t>
        </is>
      </c>
      <c r="H85" s="11" t="inlineStr"/>
      <c r="I85" s="11" t="inlineStr"/>
      <c r="J85" s="36" t="inlineStr">
        <is>
          <t>📸 Instagram тільки</t>
        </is>
      </c>
      <c r="K85" s="39" t="inlineStr">
        <is>
          <t>❌</t>
        </is>
      </c>
      <c r="L85" s="35" t="inlineStr">
        <is>
          <t>✅</t>
        </is>
      </c>
      <c r="M85" s="38" t="inlineStr">
        <is>
          <t>🟢 A</t>
        </is>
      </c>
      <c r="N85" s="10" t="inlineStr"/>
      <c r="O85" s="10" t="inlineStr"/>
      <c r="P85" s="11" t="inlineStr">
        <is>
          <t>—</t>
        </is>
      </c>
      <c r="Q85" s="11" t="inlineStr"/>
      <c r="R85" s="18" t="n"/>
      <c r="S85" s="11" t="inlineStr"/>
      <c r="T85" s="19" t="inlineStr">
        <is>
          <t>🟡 Новий</t>
        </is>
      </c>
      <c r="U85" s="10" t="inlineStr"/>
      <c r="V85" s="18" t="n"/>
      <c r="W85" s="10" t="inlineStr"/>
    </row>
    <row r="86" ht="20" customHeight="1">
      <c r="A86" s="20" t="n">
        <v>84</v>
      </c>
      <c r="B86" s="21" t="inlineStr">
        <is>
          <t>Vintage Café</t>
        </is>
      </c>
      <c r="C86" s="21" t="inlineStr">
        <is>
          <t>Львів</t>
        </is>
      </c>
      <c r="D86" s="23" t="inlineStr"/>
      <c r="E86" s="31" t="inlineStr">
        <is>
          <t>@vintage_cafe_lviv</t>
        </is>
      </c>
      <c r="F86" s="23" t="inlineStr"/>
      <c r="G86" s="25" t="inlineStr">
        <is>
          <t>📍</t>
        </is>
      </c>
      <c r="H86" s="23" t="inlineStr"/>
      <c r="I86" s="23" t="inlineStr"/>
      <c r="J86" s="36" t="inlineStr">
        <is>
          <t>📸 Instagram тільки</t>
        </is>
      </c>
      <c r="K86" s="37" t="inlineStr">
        <is>
          <t>❌</t>
        </is>
      </c>
      <c r="L86" s="32" t="inlineStr">
        <is>
          <t>✅</t>
        </is>
      </c>
      <c r="M86" s="38" t="inlineStr">
        <is>
          <t>🟢 A</t>
        </is>
      </c>
      <c r="N86" s="21" t="inlineStr"/>
      <c r="O86" s="21" t="inlineStr"/>
      <c r="P86" s="23" t="inlineStr">
        <is>
          <t>—</t>
        </is>
      </c>
      <c r="Q86" s="23" t="inlineStr"/>
      <c r="R86" s="28" t="n"/>
      <c r="S86" s="23" t="inlineStr"/>
      <c r="T86" s="19" t="inlineStr">
        <is>
          <t>🟡 Новий</t>
        </is>
      </c>
      <c r="U86" s="21" t="inlineStr"/>
      <c r="V86" s="28" t="n"/>
      <c r="W86" s="21" t="inlineStr"/>
    </row>
    <row r="87" ht="20" customHeight="1">
      <c r="A87" s="9" t="n">
        <v>85</v>
      </c>
      <c r="B87" s="10" t="inlineStr">
        <is>
          <t>Блюр</t>
        </is>
      </c>
      <c r="C87" s="10" t="inlineStr">
        <is>
          <t>Львів</t>
        </is>
      </c>
      <c r="D87" s="11" t="inlineStr"/>
      <c r="E87" s="34" t="inlineStr">
        <is>
          <t>@blurcoffeeshop_lviv</t>
        </is>
      </c>
      <c r="F87" s="11" t="inlineStr"/>
      <c r="G87" s="13" t="inlineStr">
        <is>
          <t>📍</t>
        </is>
      </c>
      <c r="H87" s="11" t="inlineStr"/>
      <c r="I87" s="11" t="inlineStr"/>
      <c r="J87" s="36" t="inlineStr">
        <is>
          <t>📸 Instagram тільки</t>
        </is>
      </c>
      <c r="K87" s="39" t="inlineStr">
        <is>
          <t>❌</t>
        </is>
      </c>
      <c r="L87" s="35" t="inlineStr">
        <is>
          <t>✅</t>
        </is>
      </c>
      <c r="M87" s="38" t="inlineStr">
        <is>
          <t>🟢 A</t>
        </is>
      </c>
      <c r="N87" s="10" t="inlineStr"/>
      <c r="O87" s="10" t="inlineStr"/>
      <c r="P87" s="11" t="inlineStr">
        <is>
          <t>—</t>
        </is>
      </c>
      <c r="Q87" s="11" t="inlineStr"/>
      <c r="R87" s="18" t="n"/>
      <c r="S87" s="11" t="inlineStr"/>
      <c r="T87" s="19" t="inlineStr">
        <is>
          <t>🟡 Новий</t>
        </is>
      </c>
      <c r="U87" s="10" t="inlineStr"/>
      <c r="V87" s="18" t="n"/>
      <c r="W87" s="10" t="inlineStr"/>
    </row>
    <row r="88" ht="20" customHeight="1">
      <c r="A88" s="20" t="n">
        <v>86</v>
      </c>
      <c r="B88" s="21" t="inlineStr">
        <is>
          <t>Зерно</t>
        </is>
      </c>
      <c r="C88" s="21" t="inlineStr">
        <is>
          <t>Львів</t>
        </is>
      </c>
      <c r="D88" s="22" t="inlineStr">
        <is>
          <t>+380 63 878 9941</t>
        </is>
      </c>
      <c r="E88" s="31" t="inlineStr">
        <is>
          <t>@zerno.lviv</t>
        </is>
      </c>
      <c r="F88" s="23" t="inlineStr"/>
      <c r="G88" s="25" t="inlineStr">
        <is>
          <t>📍</t>
        </is>
      </c>
      <c r="H88" s="23" t="inlineStr"/>
      <c r="I88" s="23" t="inlineStr"/>
      <c r="J88" s="36" t="inlineStr">
        <is>
          <t>📸 Instagram тільки</t>
        </is>
      </c>
      <c r="K88" s="37" t="inlineStr">
        <is>
          <t>❌</t>
        </is>
      </c>
      <c r="L88" s="32" t="inlineStr">
        <is>
          <t>✅</t>
        </is>
      </c>
      <c r="M88" s="38" t="inlineStr">
        <is>
          <t>🟢 A</t>
        </is>
      </c>
      <c r="N88" s="21" t="inlineStr"/>
      <c r="O88" s="21" t="inlineStr"/>
      <c r="P88" s="23" t="inlineStr">
        <is>
          <t>—</t>
        </is>
      </c>
      <c r="Q88" s="23" t="inlineStr"/>
      <c r="R88" s="28" t="n"/>
      <c r="S88" s="23" t="inlineStr"/>
      <c r="T88" s="19" t="inlineStr">
        <is>
          <t>🟡 Новий</t>
        </is>
      </c>
      <c r="U88" s="21" t="inlineStr"/>
      <c r="V88" s="28" t="n"/>
      <c r="W88" s="21" t="inlineStr"/>
    </row>
    <row r="89" ht="20" customHeight="1">
      <c r="A89" s="9" t="n">
        <v>87</v>
      </c>
      <c r="B89" s="10" t="inlineStr">
        <is>
          <t>ОЙ ШО</t>
        </is>
      </c>
      <c r="C89" s="10" t="inlineStr">
        <is>
          <t>Львів</t>
        </is>
      </c>
      <c r="D89" s="33" t="inlineStr">
        <is>
          <t>+380 96 800 1060</t>
        </is>
      </c>
      <c r="E89" s="34" t="inlineStr">
        <is>
          <t>@oy.sho.lviv</t>
        </is>
      </c>
      <c r="F89" s="11" t="inlineStr"/>
      <c r="G89" s="13" t="inlineStr">
        <is>
          <t>📍</t>
        </is>
      </c>
      <c r="H89" s="11" t="inlineStr"/>
      <c r="I89" s="11" t="inlineStr"/>
      <c r="J89" s="36" t="inlineStr">
        <is>
          <t>📸 Instagram тільки</t>
        </is>
      </c>
      <c r="K89" s="39" t="inlineStr">
        <is>
          <t>❌</t>
        </is>
      </c>
      <c r="L89" s="35" t="inlineStr">
        <is>
          <t>✅</t>
        </is>
      </c>
      <c r="M89" s="38" t="inlineStr">
        <is>
          <t>🟢 A</t>
        </is>
      </c>
      <c r="N89" s="10" t="inlineStr"/>
      <c r="O89" s="10" t="inlineStr"/>
      <c r="P89" s="11" t="inlineStr">
        <is>
          <t>—</t>
        </is>
      </c>
      <c r="Q89" s="11" t="inlineStr"/>
      <c r="R89" s="18" t="n"/>
      <c r="S89" s="11" t="inlineStr"/>
      <c r="T89" s="19" t="inlineStr">
        <is>
          <t>🟡 Новий</t>
        </is>
      </c>
      <c r="U89" s="10" t="inlineStr"/>
      <c r="V89" s="18" t="n"/>
      <c r="W89" s="10" t="inlineStr"/>
    </row>
    <row r="90" ht="20" customHeight="1">
      <c r="A90" s="20" t="n">
        <v>88</v>
      </c>
      <c r="B90" s="21" t="inlineStr">
        <is>
          <t>Ред манкі</t>
        </is>
      </c>
      <c r="C90" s="21" t="inlineStr">
        <is>
          <t>Львів</t>
        </is>
      </c>
      <c r="D90" s="22" t="inlineStr">
        <is>
          <t>0966233116</t>
        </is>
      </c>
      <c r="E90" s="31" t="inlineStr">
        <is>
          <t>@redmonkeyramen</t>
        </is>
      </c>
      <c r="F90" s="23" t="inlineStr"/>
      <c r="G90" s="25" t="inlineStr">
        <is>
          <t>📍</t>
        </is>
      </c>
      <c r="H90" s="23" t="inlineStr"/>
      <c r="I90" s="23" t="inlineStr"/>
      <c r="J90" s="36" t="inlineStr">
        <is>
          <t>📸 Instagram тільки</t>
        </is>
      </c>
      <c r="K90" s="37" t="inlineStr">
        <is>
          <t>❌</t>
        </is>
      </c>
      <c r="L90" s="32" t="inlineStr">
        <is>
          <t>✅</t>
        </is>
      </c>
      <c r="M90" s="38" t="inlineStr">
        <is>
          <t>🟢 A</t>
        </is>
      </c>
      <c r="N90" s="21" t="inlineStr"/>
      <c r="O90" s="21" t="inlineStr"/>
      <c r="P90" s="23" t="inlineStr">
        <is>
          <t>—</t>
        </is>
      </c>
      <c r="Q90" s="23" t="inlineStr"/>
      <c r="R90" s="28" t="n"/>
      <c r="S90" s="23" t="inlineStr"/>
      <c r="T90" s="19" t="inlineStr">
        <is>
          <t>🟡 Новий</t>
        </is>
      </c>
      <c r="U90" s="21" t="inlineStr"/>
      <c r="V90" s="28" t="n"/>
      <c r="W90" s="21" t="inlineStr"/>
    </row>
    <row r="91" ht="20" customHeight="1">
      <c r="A91" s="9" t="n">
        <v>89</v>
      </c>
      <c r="B91" s="10" t="inlineStr">
        <is>
          <t>Точка Зору</t>
        </is>
      </c>
      <c r="C91" s="10" t="inlineStr">
        <is>
          <t>Львів</t>
        </is>
      </c>
      <c r="D91" s="11" t="inlineStr"/>
      <c r="E91" s="34" t="inlineStr">
        <is>
          <t>@tochkazoru_lviv</t>
        </is>
      </c>
      <c r="F91" s="11" t="inlineStr"/>
      <c r="G91" s="13" t="inlineStr">
        <is>
          <t>📍</t>
        </is>
      </c>
      <c r="H91" s="11" t="inlineStr"/>
      <c r="I91" s="11" t="inlineStr"/>
      <c r="J91" s="36" t="inlineStr">
        <is>
          <t>📸 Instagram тільки</t>
        </is>
      </c>
      <c r="K91" s="39" t="inlineStr">
        <is>
          <t>❌</t>
        </is>
      </c>
      <c r="L91" s="35" t="inlineStr">
        <is>
          <t>✅</t>
        </is>
      </c>
      <c r="M91" s="38" t="inlineStr">
        <is>
          <t>🟢 A</t>
        </is>
      </c>
      <c r="N91" s="10" t="inlineStr"/>
      <c r="O91" s="10" t="inlineStr"/>
      <c r="P91" s="11" t="inlineStr">
        <is>
          <t>—</t>
        </is>
      </c>
      <c r="Q91" s="11" t="inlineStr"/>
      <c r="R91" s="18" t="n"/>
      <c r="S91" s="11" t="inlineStr"/>
      <c r="T91" s="19" t="inlineStr">
        <is>
          <t>🟡 Новий</t>
        </is>
      </c>
      <c r="U91" s="10" t="inlineStr"/>
      <c r="V91" s="18" t="n"/>
      <c r="W91" s="10" t="inlineStr"/>
    </row>
    <row r="92" ht="20" customHeight="1">
      <c r="A92" s="20" t="n">
        <v>90</v>
      </c>
      <c r="B92" s="21" t="inlineStr">
        <is>
          <t>!Fest Coffee Mission</t>
        </is>
      </c>
      <c r="C92" s="21" t="inlineStr">
        <is>
          <t>Львів</t>
        </is>
      </c>
      <c r="D92" s="23" t="inlineStr"/>
      <c r="E92" s="23" t="inlineStr"/>
      <c r="F92" s="23" t="inlineStr"/>
      <c r="G92" s="25" t="inlineStr">
        <is>
          <t>📍</t>
        </is>
      </c>
      <c r="H92" s="23" t="inlineStr"/>
      <c r="I92" s="23" t="inlineStr"/>
      <c r="J92" s="40" t="inlineStr">
        <is>
          <t>🔥 Без сайту</t>
        </is>
      </c>
      <c r="K92" s="37" t="inlineStr">
        <is>
          <t>❌</t>
        </is>
      </c>
      <c r="L92" s="27" t="inlineStr">
        <is>
          <t>❌</t>
        </is>
      </c>
      <c r="M92" s="38" t="inlineStr">
        <is>
          <t>🟢 A</t>
        </is>
      </c>
      <c r="N92" s="21" t="inlineStr"/>
      <c r="O92" s="21" t="inlineStr"/>
      <c r="P92" s="23" t="inlineStr">
        <is>
          <t>—</t>
        </is>
      </c>
      <c r="Q92" s="23" t="inlineStr"/>
      <c r="R92" s="28" t="n"/>
      <c r="S92" s="23" t="inlineStr"/>
      <c r="T92" s="19" t="inlineStr">
        <is>
          <t>🟡 Новий</t>
        </is>
      </c>
      <c r="U92" s="21" t="inlineStr"/>
      <c r="V92" s="28" t="n"/>
      <c r="W92" s="21" t="inlineStr"/>
    </row>
    <row r="93" ht="20" customHeight="1">
      <c r="A93" s="9" t="n">
        <v>91</v>
      </c>
      <c r="B93" s="10" t="inlineStr">
        <is>
          <t>1000+1 ніч</t>
        </is>
      </c>
      <c r="C93" s="10" t="inlineStr">
        <is>
          <t>Львів</t>
        </is>
      </c>
      <c r="D93" s="11" t="inlineStr"/>
      <c r="E93" s="11" t="inlineStr"/>
      <c r="F93" s="11" t="inlineStr"/>
      <c r="G93" s="13" t="inlineStr">
        <is>
          <t>📍</t>
        </is>
      </c>
      <c r="H93" s="11" t="inlineStr"/>
      <c r="I93" s="11" t="inlineStr"/>
      <c r="J93" s="40" t="inlineStr">
        <is>
          <t>🔥 Без сайту</t>
        </is>
      </c>
      <c r="K93" s="39" t="inlineStr">
        <is>
          <t>❌</t>
        </is>
      </c>
      <c r="L93" s="16" t="inlineStr">
        <is>
          <t>❌</t>
        </is>
      </c>
      <c r="M93" s="38" t="inlineStr">
        <is>
          <t>🟢 A</t>
        </is>
      </c>
      <c r="N93" s="10" t="inlineStr"/>
      <c r="O93" s="10" t="inlineStr"/>
      <c r="P93" s="11" t="inlineStr">
        <is>
          <t>—</t>
        </is>
      </c>
      <c r="Q93" s="11" t="inlineStr"/>
      <c r="R93" s="18" t="n"/>
      <c r="S93" s="11" t="inlineStr"/>
      <c r="T93" s="19" t="inlineStr">
        <is>
          <t>🟡 Новий</t>
        </is>
      </c>
      <c r="U93" s="10" t="inlineStr"/>
      <c r="V93" s="18" t="n"/>
      <c r="W93" s="10" t="inlineStr"/>
    </row>
    <row r="94" ht="20" customHeight="1">
      <c r="A94" s="20" t="n">
        <v>92</v>
      </c>
      <c r="B94" s="21" t="inlineStr">
        <is>
          <t>11 к5</t>
        </is>
      </c>
      <c r="C94" s="21" t="inlineStr">
        <is>
          <t>Львів</t>
        </is>
      </c>
      <c r="D94" s="23" t="inlineStr"/>
      <c r="E94" s="23" t="inlineStr"/>
      <c r="F94" s="23" t="inlineStr"/>
      <c r="G94" s="25" t="inlineStr">
        <is>
          <t>📍</t>
        </is>
      </c>
      <c r="H94" s="23" t="inlineStr"/>
      <c r="I94" s="23" t="inlineStr"/>
      <c r="J94" s="40" t="inlineStr">
        <is>
          <t>🔥 Без сайту</t>
        </is>
      </c>
      <c r="K94" s="37" t="inlineStr">
        <is>
          <t>❌</t>
        </is>
      </c>
      <c r="L94" s="27" t="inlineStr">
        <is>
          <t>❌</t>
        </is>
      </c>
      <c r="M94" s="38" t="inlineStr">
        <is>
          <t>🟢 A</t>
        </is>
      </c>
      <c r="N94" s="21" t="inlineStr"/>
      <c r="O94" s="21" t="inlineStr"/>
      <c r="P94" s="23" t="inlineStr">
        <is>
          <t>—</t>
        </is>
      </c>
      <c r="Q94" s="23" t="inlineStr"/>
      <c r="R94" s="28" t="n"/>
      <c r="S94" s="23" t="inlineStr"/>
      <c r="T94" s="19" t="inlineStr">
        <is>
          <t>🟡 Новий</t>
        </is>
      </c>
      <c r="U94" s="21" t="inlineStr"/>
      <c r="V94" s="28" t="n"/>
      <c r="W94" s="21" t="inlineStr"/>
    </row>
    <row r="95" ht="20" customHeight="1">
      <c r="A95" s="9" t="n">
        <v>93</v>
      </c>
      <c r="B95" s="10" t="inlineStr">
        <is>
          <t>2Cups</t>
        </is>
      </c>
      <c r="C95" s="10" t="inlineStr">
        <is>
          <t>Львів</t>
        </is>
      </c>
      <c r="D95" s="11" t="inlineStr"/>
      <c r="E95" s="11" t="inlineStr"/>
      <c r="F95" s="11" t="inlineStr"/>
      <c r="G95" s="13" t="inlineStr">
        <is>
          <t>📍</t>
        </is>
      </c>
      <c r="H95" s="11" t="inlineStr"/>
      <c r="I95" s="11" t="inlineStr"/>
      <c r="J95" s="40" t="inlineStr">
        <is>
          <t>🔥 Без сайту</t>
        </is>
      </c>
      <c r="K95" s="39" t="inlineStr">
        <is>
          <t>❌</t>
        </is>
      </c>
      <c r="L95" s="16" t="inlineStr">
        <is>
          <t>❌</t>
        </is>
      </c>
      <c r="M95" s="38" t="inlineStr">
        <is>
          <t>🟢 A</t>
        </is>
      </c>
      <c r="N95" s="10" t="inlineStr"/>
      <c r="O95" s="10" t="inlineStr"/>
      <c r="P95" s="11" t="inlineStr">
        <is>
          <t>—</t>
        </is>
      </c>
      <c r="Q95" s="11" t="inlineStr"/>
      <c r="R95" s="18" t="n"/>
      <c r="S95" s="11" t="inlineStr"/>
      <c r="T95" s="19" t="inlineStr">
        <is>
          <t>🟡 Новий</t>
        </is>
      </c>
      <c r="U95" s="10" t="inlineStr"/>
      <c r="V95" s="18" t="n"/>
      <c r="W95" s="10" t="inlineStr"/>
    </row>
    <row r="96" ht="20" customHeight="1">
      <c r="A96" s="20" t="n">
        <v>94</v>
      </c>
      <c r="B96" s="21" t="inlineStr">
        <is>
          <t>7сім небес</t>
        </is>
      </c>
      <c r="C96" s="21" t="inlineStr">
        <is>
          <t>Львів</t>
        </is>
      </c>
      <c r="D96" s="23" t="inlineStr"/>
      <c r="E96" s="23" t="inlineStr"/>
      <c r="F96" s="23" t="inlineStr"/>
      <c r="G96" s="25" t="inlineStr">
        <is>
          <t>📍</t>
        </is>
      </c>
      <c r="H96" s="23" t="inlineStr"/>
      <c r="I96" s="23" t="inlineStr"/>
      <c r="J96" s="40" t="inlineStr">
        <is>
          <t>🔥 Без сайту</t>
        </is>
      </c>
      <c r="K96" s="37" t="inlineStr">
        <is>
          <t>❌</t>
        </is>
      </c>
      <c r="L96" s="27" t="inlineStr">
        <is>
          <t>❌</t>
        </is>
      </c>
      <c r="M96" s="38" t="inlineStr">
        <is>
          <t>🟢 A</t>
        </is>
      </c>
      <c r="N96" s="21" t="inlineStr"/>
      <c r="O96" s="21" t="inlineStr"/>
      <c r="P96" s="23" t="inlineStr">
        <is>
          <t>—</t>
        </is>
      </c>
      <c r="Q96" s="23" t="inlineStr"/>
      <c r="R96" s="28" t="n"/>
      <c r="S96" s="23" t="inlineStr"/>
      <c r="T96" s="19" t="inlineStr">
        <is>
          <t>🟡 Новий</t>
        </is>
      </c>
      <c r="U96" s="21" t="inlineStr"/>
      <c r="V96" s="28" t="n"/>
      <c r="W96" s="21" t="inlineStr"/>
    </row>
    <row r="97" ht="20" customHeight="1">
      <c r="A97" s="9" t="n">
        <v>95</v>
      </c>
      <c r="B97" s="10" t="inlineStr">
        <is>
          <t>9/11</t>
        </is>
      </c>
      <c r="C97" s="10" t="inlineStr">
        <is>
          <t>Львів</t>
        </is>
      </c>
      <c r="D97" s="11" t="inlineStr"/>
      <c r="E97" s="11" t="inlineStr"/>
      <c r="F97" s="11" t="inlineStr"/>
      <c r="G97" s="13" t="inlineStr">
        <is>
          <t>📍</t>
        </is>
      </c>
      <c r="H97" s="11" t="inlineStr"/>
      <c r="I97" s="11" t="inlineStr"/>
      <c r="J97" s="40" t="inlineStr">
        <is>
          <t>🔥 Без сайту</t>
        </is>
      </c>
      <c r="K97" s="39" t="inlineStr">
        <is>
          <t>❌</t>
        </is>
      </c>
      <c r="L97" s="16" t="inlineStr">
        <is>
          <t>❌</t>
        </is>
      </c>
      <c r="M97" s="38" t="inlineStr">
        <is>
          <t>🟢 A</t>
        </is>
      </c>
      <c r="N97" s="10" t="inlineStr"/>
      <c r="O97" s="10" t="inlineStr"/>
      <c r="P97" s="11" t="inlineStr">
        <is>
          <t>—</t>
        </is>
      </c>
      <c r="Q97" s="11" t="inlineStr"/>
      <c r="R97" s="18" t="n"/>
      <c r="S97" s="11" t="inlineStr"/>
      <c r="T97" s="19" t="inlineStr">
        <is>
          <t>🟡 Новий</t>
        </is>
      </c>
      <c r="U97" s="10" t="inlineStr"/>
      <c r="V97" s="18" t="n"/>
      <c r="W97" s="10" t="inlineStr"/>
    </row>
    <row r="98" ht="20" customHeight="1">
      <c r="A98" s="20" t="n">
        <v>96</v>
      </c>
      <c r="B98" s="21" t="inlineStr">
        <is>
          <t>Aroma Kava</t>
        </is>
      </c>
      <c r="C98" s="21" t="inlineStr">
        <is>
          <t>вул. вулиця Генерала Тараса Чупринки, 41а, Львів</t>
        </is>
      </c>
      <c r="D98" s="23" t="inlineStr"/>
      <c r="E98" s="23" t="inlineStr"/>
      <c r="F98" s="23" t="inlineStr"/>
      <c r="G98" s="25" t="inlineStr">
        <is>
          <t>📍</t>
        </is>
      </c>
      <c r="H98" s="23" t="inlineStr"/>
      <c r="I98" s="23" t="inlineStr"/>
      <c r="J98" s="40" t="inlineStr">
        <is>
          <t>🔥 Без сайту</t>
        </is>
      </c>
      <c r="K98" s="37" t="inlineStr">
        <is>
          <t>❌</t>
        </is>
      </c>
      <c r="L98" s="27" t="inlineStr">
        <is>
          <t>❌</t>
        </is>
      </c>
      <c r="M98" s="38" t="inlineStr">
        <is>
          <t>🟢 A</t>
        </is>
      </c>
      <c r="N98" s="21" t="inlineStr"/>
      <c r="O98" s="21" t="inlineStr"/>
      <c r="P98" s="23" t="inlineStr">
        <is>
          <t>—</t>
        </is>
      </c>
      <c r="Q98" s="23" t="inlineStr"/>
      <c r="R98" s="28" t="n"/>
      <c r="S98" s="23" t="inlineStr"/>
      <c r="T98" s="19" t="inlineStr">
        <is>
          <t>🟡 Новий</t>
        </is>
      </c>
      <c r="U98" s="21" t="inlineStr"/>
      <c r="V98" s="28" t="n"/>
      <c r="W98" s="21" t="inlineStr"/>
    </row>
    <row r="99" ht="20" customHeight="1">
      <c r="A99" s="9" t="n">
        <v>97</v>
      </c>
      <c r="B99" s="10" t="inlineStr">
        <is>
          <t>Baguette</t>
        </is>
      </c>
      <c r="C99" s="10" t="inlineStr">
        <is>
          <t>Львів</t>
        </is>
      </c>
      <c r="D99" s="11" t="inlineStr"/>
      <c r="E99" s="11" t="inlineStr"/>
      <c r="F99" s="11" t="inlineStr"/>
      <c r="G99" s="13" t="inlineStr">
        <is>
          <t>📍</t>
        </is>
      </c>
      <c r="H99" s="11" t="inlineStr"/>
      <c r="I99" s="11" t="inlineStr"/>
      <c r="J99" s="40" t="inlineStr">
        <is>
          <t>🔥 Без сайту</t>
        </is>
      </c>
      <c r="K99" s="39" t="inlineStr">
        <is>
          <t>❌</t>
        </is>
      </c>
      <c r="L99" s="16" t="inlineStr">
        <is>
          <t>❌</t>
        </is>
      </c>
      <c r="M99" s="38" t="inlineStr">
        <is>
          <t>🟢 A</t>
        </is>
      </c>
      <c r="N99" s="10" t="inlineStr"/>
      <c r="O99" s="10" t="inlineStr"/>
      <c r="P99" s="11" t="inlineStr">
        <is>
          <t>—</t>
        </is>
      </c>
      <c r="Q99" s="11" t="inlineStr"/>
      <c r="R99" s="18" t="n"/>
      <c r="S99" s="11" t="inlineStr"/>
      <c r="T99" s="19" t="inlineStr">
        <is>
          <t>🟡 Новий</t>
        </is>
      </c>
      <c r="U99" s="10" t="inlineStr"/>
      <c r="V99" s="18" t="n"/>
      <c r="W99" s="10" t="inlineStr"/>
    </row>
    <row r="100" ht="20" customHeight="1">
      <c r="A100" s="20" t="n">
        <v>98</v>
      </c>
      <c r="B100" s="21" t="inlineStr">
        <is>
          <t>Baristra</t>
        </is>
      </c>
      <c r="C100" s="21" t="inlineStr">
        <is>
          <t>Львів</t>
        </is>
      </c>
      <c r="D100" s="23" t="inlineStr"/>
      <c r="E100" s="23" t="inlineStr"/>
      <c r="F100" s="23" t="inlineStr"/>
      <c r="G100" s="25" t="inlineStr">
        <is>
          <t>📍</t>
        </is>
      </c>
      <c r="H100" s="23" t="inlineStr"/>
      <c r="I100" s="23" t="inlineStr"/>
      <c r="J100" s="40" t="inlineStr">
        <is>
          <t>🔥 Без сайту</t>
        </is>
      </c>
      <c r="K100" s="37" t="inlineStr">
        <is>
          <t>❌</t>
        </is>
      </c>
      <c r="L100" s="27" t="inlineStr">
        <is>
          <t>❌</t>
        </is>
      </c>
      <c r="M100" s="38" t="inlineStr">
        <is>
          <t>🟢 A</t>
        </is>
      </c>
      <c r="N100" s="21" t="inlineStr"/>
      <c r="O100" s="21" t="inlineStr"/>
      <c r="P100" s="23" t="inlineStr">
        <is>
          <t>—</t>
        </is>
      </c>
      <c r="Q100" s="23" t="inlineStr"/>
      <c r="R100" s="28" t="n"/>
      <c r="S100" s="23" t="inlineStr"/>
      <c r="T100" s="19" t="inlineStr">
        <is>
          <t>🟡 Новий</t>
        </is>
      </c>
      <c r="U100" s="21" t="inlineStr"/>
      <c r="V100" s="28" t="n"/>
      <c r="W100" s="21" t="inlineStr"/>
    </row>
    <row r="101" ht="20" customHeight="1">
      <c r="A101" s="9" t="n">
        <v>99</v>
      </c>
      <c r="B101" s="10" t="inlineStr">
        <is>
          <t>BeeCoffee</t>
        </is>
      </c>
      <c r="C101" s="10" t="inlineStr">
        <is>
          <t>Львів</t>
        </is>
      </c>
      <c r="D101" s="11" t="inlineStr"/>
      <c r="E101" s="11" t="inlineStr"/>
      <c r="F101" s="11" t="inlineStr"/>
      <c r="G101" s="13" t="inlineStr">
        <is>
          <t>📍</t>
        </is>
      </c>
      <c r="H101" s="11" t="inlineStr"/>
      <c r="I101" s="11" t="inlineStr"/>
      <c r="J101" s="40" t="inlineStr">
        <is>
          <t>🔥 Без сайту</t>
        </is>
      </c>
      <c r="K101" s="39" t="inlineStr">
        <is>
          <t>❌</t>
        </is>
      </c>
      <c r="L101" s="16" t="inlineStr">
        <is>
          <t>❌</t>
        </is>
      </c>
      <c r="M101" s="38" t="inlineStr">
        <is>
          <t>🟢 A</t>
        </is>
      </c>
      <c r="N101" s="10" t="inlineStr"/>
      <c r="O101" s="10" t="inlineStr"/>
      <c r="P101" s="11" t="inlineStr">
        <is>
          <t>—</t>
        </is>
      </c>
      <c r="Q101" s="11" t="inlineStr"/>
      <c r="R101" s="18" t="n"/>
      <c r="S101" s="11" t="inlineStr"/>
      <c r="T101" s="19" t="inlineStr">
        <is>
          <t>🟡 Новий</t>
        </is>
      </c>
      <c r="U101" s="10" t="inlineStr"/>
      <c r="V101" s="18" t="n"/>
      <c r="W101" s="10" t="inlineStr"/>
    </row>
    <row r="102" ht="20" customHeight="1">
      <c r="A102" s="20" t="n">
        <v>100</v>
      </c>
      <c r="B102" s="21" t="inlineStr">
        <is>
          <t>Black Honey</t>
        </is>
      </c>
      <c r="C102" s="21" t="inlineStr">
        <is>
          <t>Львів</t>
        </is>
      </c>
      <c r="D102" s="23" t="inlineStr"/>
      <c r="E102" s="23" t="inlineStr"/>
      <c r="F102" s="23" t="inlineStr"/>
      <c r="G102" s="25" t="inlineStr">
        <is>
          <t>📍</t>
        </is>
      </c>
      <c r="H102" s="23" t="inlineStr"/>
      <c r="I102" s="23" t="inlineStr"/>
      <c r="J102" s="40" t="inlineStr">
        <is>
          <t>🔥 Без сайту</t>
        </is>
      </c>
      <c r="K102" s="37" t="inlineStr">
        <is>
          <t>❌</t>
        </is>
      </c>
      <c r="L102" s="27" t="inlineStr">
        <is>
          <t>❌</t>
        </is>
      </c>
      <c r="M102" s="38" t="inlineStr">
        <is>
          <t>🟢 A</t>
        </is>
      </c>
      <c r="N102" s="21" t="inlineStr"/>
      <c r="O102" s="21" t="inlineStr"/>
      <c r="P102" s="23" t="inlineStr">
        <is>
          <t>—</t>
        </is>
      </c>
      <c r="Q102" s="23" t="inlineStr"/>
      <c r="R102" s="28" t="n"/>
      <c r="S102" s="23" t="inlineStr"/>
      <c r="T102" s="19" t="inlineStr">
        <is>
          <t>🟡 Новий</t>
        </is>
      </c>
      <c r="U102" s="21" t="inlineStr"/>
      <c r="V102" s="28" t="n"/>
      <c r="W102" s="21" t="inlineStr"/>
    </row>
    <row r="103" ht="20" customHeight="1">
      <c r="A103" s="9" t="n">
        <v>101</v>
      </c>
      <c r="B103" s="10" t="inlineStr">
        <is>
          <t>BlackBerry Mafia Club</t>
        </is>
      </c>
      <c r="C103" s="10" t="inlineStr">
        <is>
          <t>Львів</t>
        </is>
      </c>
      <c r="D103" s="11" t="inlineStr"/>
      <c r="E103" s="11" t="inlineStr"/>
      <c r="F103" s="11" t="inlineStr"/>
      <c r="G103" s="13" t="inlineStr">
        <is>
          <t>📍</t>
        </is>
      </c>
      <c r="H103" s="11" t="inlineStr"/>
      <c r="I103" s="11" t="inlineStr"/>
      <c r="J103" s="40" t="inlineStr">
        <is>
          <t>🔥 Без сайту</t>
        </is>
      </c>
      <c r="K103" s="39" t="inlineStr">
        <is>
          <t>❌</t>
        </is>
      </c>
      <c r="L103" s="16" t="inlineStr">
        <is>
          <t>❌</t>
        </is>
      </c>
      <c r="M103" s="38" t="inlineStr">
        <is>
          <t>🟢 A</t>
        </is>
      </c>
      <c r="N103" s="10" t="inlineStr"/>
      <c r="O103" s="10" t="inlineStr"/>
      <c r="P103" s="11" t="inlineStr">
        <is>
          <t>—</t>
        </is>
      </c>
      <c r="Q103" s="11" t="inlineStr"/>
      <c r="R103" s="18" t="n"/>
      <c r="S103" s="11" t="inlineStr"/>
      <c r="T103" s="19" t="inlineStr">
        <is>
          <t>🟡 Новий</t>
        </is>
      </c>
      <c r="U103" s="10" t="inlineStr"/>
      <c r="V103" s="18" t="n"/>
      <c r="W103" s="10" t="inlineStr"/>
    </row>
    <row r="104" ht="20" customHeight="1">
      <c r="A104" s="20" t="n">
        <v>102</v>
      </c>
      <c r="B104" s="21" t="inlineStr">
        <is>
          <t>BlackWood Coffee</t>
        </is>
      </c>
      <c r="C104" s="21" t="inlineStr">
        <is>
          <t>Львів</t>
        </is>
      </c>
      <c r="D104" s="23" t="inlineStr"/>
      <c r="E104" s="23" t="inlineStr"/>
      <c r="F104" s="23" t="inlineStr"/>
      <c r="G104" s="25" t="inlineStr">
        <is>
          <t>📍</t>
        </is>
      </c>
      <c r="H104" s="23" t="inlineStr"/>
      <c r="I104" s="23" t="inlineStr"/>
      <c r="J104" s="40" t="inlineStr">
        <is>
          <t>🔥 Без сайту</t>
        </is>
      </c>
      <c r="K104" s="37" t="inlineStr">
        <is>
          <t>❌</t>
        </is>
      </c>
      <c r="L104" s="27" t="inlineStr">
        <is>
          <t>❌</t>
        </is>
      </c>
      <c r="M104" s="38" t="inlineStr">
        <is>
          <t>🟢 A</t>
        </is>
      </c>
      <c r="N104" s="21" t="inlineStr"/>
      <c r="O104" s="21" t="inlineStr"/>
      <c r="P104" s="23" t="inlineStr">
        <is>
          <t>—</t>
        </is>
      </c>
      <c r="Q104" s="23" t="inlineStr"/>
      <c r="R104" s="28" t="n"/>
      <c r="S104" s="23" t="inlineStr"/>
      <c r="T104" s="19" t="inlineStr">
        <is>
          <t>🟡 Новий</t>
        </is>
      </c>
      <c r="U104" s="21" t="inlineStr"/>
      <c r="V104" s="28" t="n"/>
      <c r="W104" s="21" t="inlineStr"/>
    </row>
    <row r="105" ht="20" customHeight="1">
      <c r="A105" s="9" t="n">
        <v>103</v>
      </c>
      <c r="B105" s="10" t="inlineStr">
        <is>
          <t>Blackwood Coffee</t>
        </is>
      </c>
      <c r="C105" s="10" t="inlineStr">
        <is>
          <t>вул. вулиця Лесі Українки, Львів</t>
        </is>
      </c>
      <c r="D105" s="11" t="inlineStr"/>
      <c r="E105" s="11" t="inlineStr"/>
      <c r="F105" s="11" t="inlineStr"/>
      <c r="G105" s="13" t="inlineStr">
        <is>
          <t>📍</t>
        </is>
      </c>
      <c r="H105" s="11" t="inlineStr"/>
      <c r="I105" s="11" t="inlineStr"/>
      <c r="J105" s="40" t="inlineStr">
        <is>
          <t>🔥 Без сайту</t>
        </is>
      </c>
      <c r="K105" s="39" t="inlineStr">
        <is>
          <t>❌</t>
        </is>
      </c>
      <c r="L105" s="16" t="inlineStr">
        <is>
          <t>❌</t>
        </is>
      </c>
      <c r="M105" s="38" t="inlineStr">
        <is>
          <t>🟢 A</t>
        </is>
      </c>
      <c r="N105" s="10" t="inlineStr"/>
      <c r="O105" s="10" t="inlineStr"/>
      <c r="P105" s="11" t="inlineStr">
        <is>
          <t>—</t>
        </is>
      </c>
      <c r="Q105" s="11" t="inlineStr"/>
      <c r="R105" s="18" t="n"/>
      <c r="S105" s="11" t="inlineStr"/>
      <c r="T105" s="19" t="inlineStr">
        <is>
          <t>🟡 Новий</t>
        </is>
      </c>
      <c r="U105" s="10" t="inlineStr"/>
      <c r="V105" s="18" t="n"/>
      <c r="W105" s="10" t="inlineStr"/>
    </row>
    <row r="106" ht="20" customHeight="1">
      <c r="A106" s="20" t="n">
        <v>104</v>
      </c>
      <c r="B106" s="21" t="inlineStr">
        <is>
          <t>Bratello</t>
        </is>
      </c>
      <c r="C106" s="21" t="inlineStr">
        <is>
          <t>Львів</t>
        </is>
      </c>
      <c r="D106" s="23" t="inlineStr"/>
      <c r="E106" s="23" t="inlineStr"/>
      <c r="F106" s="23" t="inlineStr"/>
      <c r="G106" s="25" t="inlineStr">
        <is>
          <t>📍</t>
        </is>
      </c>
      <c r="H106" s="23" t="inlineStr"/>
      <c r="I106" s="23" t="inlineStr"/>
      <c r="J106" s="40" t="inlineStr">
        <is>
          <t>🔥 Без сайту</t>
        </is>
      </c>
      <c r="K106" s="37" t="inlineStr">
        <is>
          <t>❌</t>
        </is>
      </c>
      <c r="L106" s="27" t="inlineStr">
        <is>
          <t>❌</t>
        </is>
      </c>
      <c r="M106" s="38" t="inlineStr">
        <is>
          <t>🟢 A</t>
        </is>
      </c>
      <c r="N106" s="21" t="inlineStr"/>
      <c r="O106" s="21" t="inlineStr"/>
      <c r="P106" s="23" t="inlineStr">
        <is>
          <t>—</t>
        </is>
      </c>
      <c r="Q106" s="23" t="inlineStr"/>
      <c r="R106" s="28" t="n"/>
      <c r="S106" s="23" t="inlineStr"/>
      <c r="T106" s="19" t="inlineStr">
        <is>
          <t>🟡 Новий</t>
        </is>
      </c>
      <c r="U106" s="21" t="inlineStr"/>
      <c r="V106" s="28" t="n"/>
      <c r="W106" s="21" t="inlineStr"/>
    </row>
    <row r="107" ht="20" customHeight="1">
      <c r="A107" s="9" t="n">
        <v>105</v>
      </c>
      <c r="B107" s="10" t="inlineStr">
        <is>
          <t>Bro</t>
        </is>
      </c>
      <c r="C107" s="10" t="inlineStr">
        <is>
          <t>вул. вулиця Нестора Літописця, 20а, Львів</t>
        </is>
      </c>
      <c r="D107" s="11" t="inlineStr"/>
      <c r="E107" s="11" t="inlineStr"/>
      <c r="F107" s="11" t="inlineStr"/>
      <c r="G107" s="13" t="inlineStr">
        <is>
          <t>📍</t>
        </is>
      </c>
      <c r="H107" s="11" t="inlineStr"/>
      <c r="I107" s="11" t="inlineStr"/>
      <c r="J107" s="40" t="inlineStr">
        <is>
          <t>🔥 Без сайту</t>
        </is>
      </c>
      <c r="K107" s="39" t="inlineStr">
        <is>
          <t>❌</t>
        </is>
      </c>
      <c r="L107" s="16" t="inlineStr">
        <is>
          <t>❌</t>
        </is>
      </c>
      <c r="M107" s="38" t="inlineStr">
        <is>
          <t>🟢 A</t>
        </is>
      </c>
      <c r="N107" s="10" t="inlineStr"/>
      <c r="O107" s="10" t="inlineStr"/>
      <c r="P107" s="11" t="inlineStr">
        <is>
          <t>—</t>
        </is>
      </c>
      <c r="Q107" s="11" t="inlineStr"/>
      <c r="R107" s="18" t="n"/>
      <c r="S107" s="11" t="inlineStr"/>
      <c r="T107" s="19" t="inlineStr">
        <is>
          <t>🟡 Новий</t>
        </is>
      </c>
      <c r="U107" s="10" t="inlineStr"/>
      <c r="V107" s="18" t="n"/>
      <c r="W107" s="10" t="inlineStr"/>
    </row>
    <row r="108" ht="20" customHeight="1">
      <c r="A108" s="20" t="n">
        <v>106</v>
      </c>
      <c r="B108" s="21" t="inlineStr">
        <is>
          <t>Brown</t>
        </is>
      </c>
      <c r="C108" s="21" t="inlineStr">
        <is>
          <t>Львів</t>
        </is>
      </c>
      <c r="D108" s="23" t="inlineStr"/>
      <c r="E108" s="23" t="inlineStr"/>
      <c r="F108" s="23" t="inlineStr"/>
      <c r="G108" s="25" t="inlineStr">
        <is>
          <t>📍</t>
        </is>
      </c>
      <c r="H108" s="23" t="inlineStr"/>
      <c r="I108" s="23" t="inlineStr"/>
      <c r="J108" s="40" t="inlineStr">
        <is>
          <t>🔥 Без сайту</t>
        </is>
      </c>
      <c r="K108" s="37" t="inlineStr">
        <is>
          <t>❌</t>
        </is>
      </c>
      <c r="L108" s="27" t="inlineStr">
        <is>
          <t>❌</t>
        </is>
      </c>
      <c r="M108" s="38" t="inlineStr">
        <is>
          <t>🟢 A</t>
        </is>
      </c>
      <c r="N108" s="21" t="inlineStr"/>
      <c r="O108" s="21" t="inlineStr"/>
      <c r="P108" s="23" t="inlineStr">
        <is>
          <t>—</t>
        </is>
      </c>
      <c r="Q108" s="23" t="inlineStr"/>
      <c r="R108" s="28" t="n"/>
      <c r="S108" s="23" t="inlineStr"/>
      <c r="T108" s="19" t="inlineStr">
        <is>
          <t>🟡 Новий</t>
        </is>
      </c>
      <c r="U108" s="21" t="inlineStr"/>
      <c r="V108" s="28" t="n"/>
      <c r="W108" s="21" t="inlineStr"/>
    </row>
    <row r="109" ht="20" customHeight="1">
      <c r="A109" s="9" t="n">
        <v>107</v>
      </c>
      <c r="B109" s="10" t="inlineStr">
        <is>
          <t>Brown - tea &amp; coffee shop</t>
        </is>
      </c>
      <c r="C109" s="10" t="inlineStr">
        <is>
          <t>Львів</t>
        </is>
      </c>
      <c r="D109" s="11" t="inlineStr"/>
      <c r="E109" s="11" t="inlineStr"/>
      <c r="F109" s="11" t="inlineStr"/>
      <c r="G109" s="13" t="inlineStr">
        <is>
          <t>📍</t>
        </is>
      </c>
      <c r="H109" s="11" t="inlineStr"/>
      <c r="I109" s="11" t="inlineStr"/>
      <c r="J109" s="40" t="inlineStr">
        <is>
          <t>🔥 Без сайту</t>
        </is>
      </c>
      <c r="K109" s="39" t="inlineStr">
        <is>
          <t>❌</t>
        </is>
      </c>
      <c r="L109" s="16" t="inlineStr">
        <is>
          <t>❌</t>
        </is>
      </c>
      <c r="M109" s="38" t="inlineStr">
        <is>
          <t>🟢 A</t>
        </is>
      </c>
      <c r="N109" s="10" t="inlineStr"/>
      <c r="O109" s="10" t="inlineStr"/>
      <c r="P109" s="11" t="inlineStr">
        <is>
          <t>—</t>
        </is>
      </c>
      <c r="Q109" s="11" t="inlineStr"/>
      <c r="R109" s="18" t="n"/>
      <c r="S109" s="11" t="inlineStr"/>
      <c r="T109" s="19" t="inlineStr">
        <is>
          <t>🟡 Новий</t>
        </is>
      </c>
      <c r="U109" s="10" t="inlineStr"/>
      <c r="V109" s="18" t="n"/>
      <c r="W109" s="10" t="inlineStr"/>
    </row>
    <row r="110" ht="20" customHeight="1">
      <c r="A110" s="20" t="n">
        <v>108</v>
      </c>
      <c r="B110" s="21" t="inlineStr">
        <is>
          <t>BubbleWaffle</t>
        </is>
      </c>
      <c r="C110" s="21" t="inlineStr">
        <is>
          <t>Львів</t>
        </is>
      </c>
      <c r="D110" s="23" t="inlineStr"/>
      <c r="E110" s="23" t="inlineStr"/>
      <c r="F110" s="23" t="inlineStr"/>
      <c r="G110" s="25" t="inlineStr">
        <is>
          <t>📍</t>
        </is>
      </c>
      <c r="H110" s="23" t="inlineStr"/>
      <c r="I110" s="23" t="inlineStr"/>
      <c r="J110" s="40" t="inlineStr">
        <is>
          <t>🔥 Без сайту</t>
        </is>
      </c>
      <c r="K110" s="37" t="inlineStr">
        <is>
          <t>❌</t>
        </is>
      </c>
      <c r="L110" s="27" t="inlineStr">
        <is>
          <t>❌</t>
        </is>
      </c>
      <c r="M110" s="38" t="inlineStr">
        <is>
          <t>🟢 A</t>
        </is>
      </c>
      <c r="N110" s="21" t="inlineStr"/>
      <c r="O110" s="21" t="inlineStr"/>
      <c r="P110" s="23" t="inlineStr">
        <is>
          <t>—</t>
        </is>
      </c>
      <c r="Q110" s="23" t="inlineStr"/>
      <c r="R110" s="28" t="n"/>
      <c r="S110" s="23" t="inlineStr"/>
      <c r="T110" s="19" t="inlineStr">
        <is>
          <t>🟡 Новий</t>
        </is>
      </c>
      <c r="U110" s="21" t="inlineStr"/>
      <c r="V110" s="28" t="n"/>
      <c r="W110" s="21" t="inlineStr"/>
    </row>
    <row r="111" ht="20" customHeight="1">
      <c r="A111" s="9" t="n">
        <v>109</v>
      </c>
      <c r="B111" s="10" t="inlineStr">
        <is>
          <t>CaFe</t>
        </is>
      </c>
      <c r="C111" s="10" t="inlineStr">
        <is>
          <t>Львів</t>
        </is>
      </c>
      <c r="D111" s="11" t="inlineStr"/>
      <c r="E111" s="11" t="inlineStr"/>
      <c r="F111" s="11" t="inlineStr"/>
      <c r="G111" s="13" t="inlineStr">
        <is>
          <t>📍</t>
        </is>
      </c>
      <c r="H111" s="11" t="inlineStr"/>
      <c r="I111" s="11" t="inlineStr"/>
      <c r="J111" s="40" t="inlineStr">
        <is>
          <t>🔥 Без сайту</t>
        </is>
      </c>
      <c r="K111" s="39" t="inlineStr">
        <is>
          <t>❌</t>
        </is>
      </c>
      <c r="L111" s="16" t="inlineStr">
        <is>
          <t>❌</t>
        </is>
      </c>
      <c r="M111" s="38" t="inlineStr">
        <is>
          <t>🟢 A</t>
        </is>
      </c>
      <c r="N111" s="10" t="inlineStr"/>
      <c r="O111" s="10" t="inlineStr"/>
      <c r="P111" s="11" t="inlineStr">
        <is>
          <t>—</t>
        </is>
      </c>
      <c r="Q111" s="11" t="inlineStr"/>
      <c r="R111" s="18" t="n"/>
      <c r="S111" s="11" t="inlineStr"/>
      <c r="T111" s="19" t="inlineStr">
        <is>
          <t>🟡 Новий</t>
        </is>
      </c>
      <c r="U111" s="10" t="inlineStr"/>
      <c r="V111" s="18" t="n"/>
      <c r="W111" s="10" t="inlineStr"/>
    </row>
    <row r="112" ht="20" customHeight="1">
      <c r="A112" s="20" t="n">
        <v>110</v>
      </c>
      <c r="B112" s="21" t="inlineStr">
        <is>
          <t>Cabinet</t>
        </is>
      </c>
      <c r="C112" s="21" t="inlineStr">
        <is>
          <t>вул. вулиця Володимира Винниченка, 12, Львів</t>
        </is>
      </c>
      <c r="D112" s="23" t="inlineStr"/>
      <c r="E112" s="23" t="inlineStr"/>
      <c r="F112" s="23" t="inlineStr"/>
      <c r="G112" s="25" t="inlineStr">
        <is>
          <t>📍</t>
        </is>
      </c>
      <c r="H112" s="23" t="inlineStr"/>
      <c r="I112" s="23" t="inlineStr"/>
      <c r="J112" s="40" t="inlineStr">
        <is>
          <t>🔥 Без сайту</t>
        </is>
      </c>
      <c r="K112" s="37" t="inlineStr">
        <is>
          <t>❌</t>
        </is>
      </c>
      <c r="L112" s="27" t="inlineStr">
        <is>
          <t>❌</t>
        </is>
      </c>
      <c r="M112" s="38" t="inlineStr">
        <is>
          <t>🟢 A</t>
        </is>
      </c>
      <c r="N112" s="21" t="inlineStr"/>
      <c r="O112" s="21" t="inlineStr"/>
      <c r="P112" s="23" t="inlineStr">
        <is>
          <t>—</t>
        </is>
      </c>
      <c r="Q112" s="23" t="inlineStr"/>
      <c r="R112" s="28" t="n"/>
      <c r="S112" s="23" t="inlineStr"/>
      <c r="T112" s="19" t="inlineStr">
        <is>
          <t>🟡 Новий</t>
        </is>
      </c>
      <c r="U112" s="21" t="inlineStr"/>
      <c r="V112" s="28" t="n"/>
      <c r="W112" s="21" t="inlineStr"/>
    </row>
    <row r="113" ht="20" customHeight="1">
      <c r="A113" s="9" t="n">
        <v>111</v>
      </c>
      <c r="B113" s="10" t="inlineStr">
        <is>
          <t>Central CoffeeBar</t>
        </is>
      </c>
      <c r="C113" s="10" t="inlineStr">
        <is>
          <t>Львів</t>
        </is>
      </c>
      <c r="D113" s="11" t="inlineStr"/>
      <c r="E113" s="11" t="inlineStr"/>
      <c r="F113" s="11" t="inlineStr"/>
      <c r="G113" s="13" t="inlineStr">
        <is>
          <t>📍</t>
        </is>
      </c>
      <c r="H113" s="11" t="inlineStr"/>
      <c r="I113" s="11" t="inlineStr"/>
      <c r="J113" s="40" t="inlineStr">
        <is>
          <t>🔥 Без сайту</t>
        </is>
      </c>
      <c r="K113" s="39" t="inlineStr">
        <is>
          <t>❌</t>
        </is>
      </c>
      <c r="L113" s="16" t="inlineStr">
        <is>
          <t>❌</t>
        </is>
      </c>
      <c r="M113" s="38" t="inlineStr">
        <is>
          <t>🟢 A</t>
        </is>
      </c>
      <c r="N113" s="10" t="inlineStr"/>
      <c r="O113" s="10" t="inlineStr"/>
      <c r="P113" s="11" t="inlineStr">
        <is>
          <t>—</t>
        </is>
      </c>
      <c r="Q113" s="11" t="inlineStr"/>
      <c r="R113" s="18" t="n"/>
      <c r="S113" s="11" t="inlineStr"/>
      <c r="T113" s="19" t="inlineStr">
        <is>
          <t>🟡 Новий</t>
        </is>
      </c>
      <c r="U113" s="10" t="inlineStr"/>
      <c r="V113" s="18" t="n"/>
      <c r="W113" s="10" t="inlineStr"/>
    </row>
    <row r="114" ht="20" customHeight="1">
      <c r="A114" s="20" t="n">
        <v>112</v>
      </c>
      <c r="B114" s="21" t="inlineStr">
        <is>
          <t>Cofee &amp; Tee</t>
        </is>
      </c>
      <c r="C114" s="21" t="inlineStr">
        <is>
          <t>Львів</t>
        </is>
      </c>
      <c r="D114" s="23" t="inlineStr"/>
      <c r="E114" s="23" t="inlineStr"/>
      <c r="F114" s="23" t="inlineStr"/>
      <c r="G114" s="25" t="inlineStr">
        <is>
          <t>📍</t>
        </is>
      </c>
      <c r="H114" s="23" t="inlineStr"/>
      <c r="I114" s="23" t="inlineStr"/>
      <c r="J114" s="40" t="inlineStr">
        <is>
          <t>🔥 Без сайту</t>
        </is>
      </c>
      <c r="K114" s="37" t="inlineStr">
        <is>
          <t>❌</t>
        </is>
      </c>
      <c r="L114" s="27" t="inlineStr">
        <is>
          <t>❌</t>
        </is>
      </c>
      <c r="M114" s="38" t="inlineStr">
        <is>
          <t>🟢 A</t>
        </is>
      </c>
      <c r="N114" s="21" t="inlineStr"/>
      <c r="O114" s="21" t="inlineStr"/>
      <c r="P114" s="23" t="inlineStr">
        <is>
          <t>—</t>
        </is>
      </c>
      <c r="Q114" s="23" t="inlineStr"/>
      <c r="R114" s="28" t="n"/>
      <c r="S114" s="23" t="inlineStr"/>
      <c r="T114" s="19" t="inlineStr">
        <is>
          <t>🟡 Новий</t>
        </is>
      </c>
      <c r="U114" s="21" t="inlineStr"/>
      <c r="V114" s="28" t="n"/>
      <c r="W114" s="21" t="inlineStr"/>
    </row>
    <row r="115" ht="20" customHeight="1">
      <c r="A115" s="9" t="n">
        <v>113</v>
      </c>
      <c r="B115" s="10" t="inlineStr">
        <is>
          <t>Coffee 4 you</t>
        </is>
      </c>
      <c r="C115" s="10" t="inlineStr">
        <is>
          <t>Львів</t>
        </is>
      </c>
      <c r="D115" s="11" t="inlineStr"/>
      <c r="E115" s="11" t="inlineStr"/>
      <c r="F115" s="11" t="inlineStr"/>
      <c r="G115" s="13" t="inlineStr">
        <is>
          <t>📍</t>
        </is>
      </c>
      <c r="H115" s="11" t="inlineStr"/>
      <c r="I115" s="11" t="inlineStr"/>
      <c r="J115" s="40" t="inlineStr">
        <is>
          <t>🔥 Без сайту</t>
        </is>
      </c>
      <c r="K115" s="39" t="inlineStr">
        <is>
          <t>❌</t>
        </is>
      </c>
      <c r="L115" s="16" t="inlineStr">
        <is>
          <t>❌</t>
        </is>
      </c>
      <c r="M115" s="38" t="inlineStr">
        <is>
          <t>🟢 A</t>
        </is>
      </c>
      <c r="N115" s="10" t="inlineStr"/>
      <c r="O115" s="10" t="inlineStr"/>
      <c r="P115" s="11" t="inlineStr">
        <is>
          <t>—</t>
        </is>
      </c>
      <c r="Q115" s="11" t="inlineStr"/>
      <c r="R115" s="18" t="n"/>
      <c r="S115" s="11" t="inlineStr"/>
      <c r="T115" s="19" t="inlineStr">
        <is>
          <t>🟡 Новий</t>
        </is>
      </c>
      <c r="U115" s="10" t="inlineStr"/>
      <c r="V115" s="18" t="n"/>
      <c r="W115" s="10" t="inlineStr"/>
    </row>
    <row r="116" ht="20" customHeight="1">
      <c r="A116" s="20" t="n">
        <v>114</v>
      </c>
      <c r="B116" s="21" t="inlineStr">
        <is>
          <t>Coffee Max</t>
        </is>
      </c>
      <c r="C116" s="21" t="inlineStr">
        <is>
          <t>Львів</t>
        </is>
      </c>
      <c r="D116" s="23" t="inlineStr"/>
      <c r="E116" s="23" t="inlineStr"/>
      <c r="F116" s="23" t="inlineStr"/>
      <c r="G116" s="25" t="inlineStr">
        <is>
          <t>📍</t>
        </is>
      </c>
      <c r="H116" s="23" t="inlineStr"/>
      <c r="I116" s="23" t="inlineStr"/>
      <c r="J116" s="40" t="inlineStr">
        <is>
          <t>🔥 Без сайту</t>
        </is>
      </c>
      <c r="K116" s="37" t="inlineStr">
        <is>
          <t>❌</t>
        </is>
      </c>
      <c r="L116" s="27" t="inlineStr">
        <is>
          <t>❌</t>
        </is>
      </c>
      <c r="M116" s="38" t="inlineStr">
        <is>
          <t>🟢 A</t>
        </is>
      </c>
      <c r="N116" s="21" t="inlineStr"/>
      <c r="O116" s="21" t="inlineStr"/>
      <c r="P116" s="23" t="inlineStr">
        <is>
          <t>—</t>
        </is>
      </c>
      <c r="Q116" s="23" t="inlineStr"/>
      <c r="R116" s="28" t="n"/>
      <c r="S116" s="23" t="inlineStr"/>
      <c r="T116" s="19" t="inlineStr">
        <is>
          <t>🟡 Новий</t>
        </is>
      </c>
      <c r="U116" s="21" t="inlineStr"/>
      <c r="V116" s="28" t="n"/>
      <c r="W116" s="21" t="inlineStr"/>
    </row>
    <row r="117" ht="20" customHeight="1">
      <c r="A117" s="9" t="n">
        <v>115</v>
      </c>
      <c r="B117" s="10" t="inlineStr">
        <is>
          <t>Coffee lab</t>
        </is>
      </c>
      <c r="C117" s="10" t="inlineStr">
        <is>
          <t>Львів</t>
        </is>
      </c>
      <c r="D117" s="11" t="inlineStr"/>
      <c r="E117" s="11" t="inlineStr"/>
      <c r="F117" s="11" t="inlineStr"/>
      <c r="G117" s="13" t="inlineStr">
        <is>
          <t>📍</t>
        </is>
      </c>
      <c r="H117" s="11" t="inlineStr"/>
      <c r="I117" s="11" t="inlineStr"/>
      <c r="J117" s="40" t="inlineStr">
        <is>
          <t>🔥 Без сайту</t>
        </is>
      </c>
      <c r="K117" s="39" t="inlineStr">
        <is>
          <t>❌</t>
        </is>
      </c>
      <c r="L117" s="16" t="inlineStr">
        <is>
          <t>❌</t>
        </is>
      </c>
      <c r="M117" s="38" t="inlineStr">
        <is>
          <t>🟢 A</t>
        </is>
      </c>
      <c r="N117" s="10" t="inlineStr"/>
      <c r="O117" s="10" t="inlineStr"/>
      <c r="P117" s="11" t="inlineStr">
        <is>
          <t>—</t>
        </is>
      </c>
      <c r="Q117" s="11" t="inlineStr"/>
      <c r="R117" s="18" t="n"/>
      <c r="S117" s="11" t="inlineStr"/>
      <c r="T117" s="19" t="inlineStr">
        <is>
          <t>🟡 Новий</t>
        </is>
      </c>
      <c r="U117" s="10" t="inlineStr"/>
      <c r="V117" s="18" t="n"/>
      <c r="W117" s="10" t="inlineStr"/>
    </row>
    <row r="118" ht="20" customHeight="1">
      <c r="A118" s="20" t="n">
        <v>116</v>
      </c>
      <c r="B118" s="21" t="inlineStr">
        <is>
          <t>CoffeeBurg</t>
        </is>
      </c>
      <c r="C118" s="21" t="inlineStr">
        <is>
          <t>Львів</t>
        </is>
      </c>
      <c r="D118" s="23" t="inlineStr"/>
      <c r="E118" s="23" t="inlineStr"/>
      <c r="F118" s="23" t="inlineStr"/>
      <c r="G118" s="25" t="inlineStr">
        <is>
          <t>📍</t>
        </is>
      </c>
      <c r="H118" s="23" t="inlineStr"/>
      <c r="I118" s="23" t="inlineStr"/>
      <c r="J118" s="40" t="inlineStr">
        <is>
          <t>🔥 Без сайту</t>
        </is>
      </c>
      <c r="K118" s="37" t="inlineStr">
        <is>
          <t>❌</t>
        </is>
      </c>
      <c r="L118" s="27" t="inlineStr">
        <is>
          <t>❌</t>
        </is>
      </c>
      <c r="M118" s="38" t="inlineStr">
        <is>
          <t>🟢 A</t>
        </is>
      </c>
      <c r="N118" s="21" t="inlineStr"/>
      <c r="O118" s="21" t="inlineStr"/>
      <c r="P118" s="23" t="inlineStr">
        <is>
          <t>—</t>
        </is>
      </c>
      <c r="Q118" s="23" t="inlineStr"/>
      <c r="R118" s="28" t="n"/>
      <c r="S118" s="23" t="inlineStr"/>
      <c r="T118" s="19" t="inlineStr">
        <is>
          <t>🟡 Новий</t>
        </is>
      </c>
      <c r="U118" s="21" t="inlineStr"/>
      <c r="V118" s="28" t="n"/>
      <c r="W118" s="21" t="inlineStr"/>
    </row>
    <row r="119" ht="20" customHeight="1">
      <c r="A119" s="9" t="n">
        <v>117</v>
      </c>
      <c r="B119" s="10" t="inlineStr">
        <is>
          <t>Coffeeshop Company</t>
        </is>
      </c>
      <c r="C119" s="10" t="inlineStr">
        <is>
          <t>Львів</t>
        </is>
      </c>
      <c r="D119" s="11" t="inlineStr"/>
      <c r="E119" s="11" t="inlineStr"/>
      <c r="F119" s="11" t="inlineStr"/>
      <c r="G119" s="13" t="inlineStr">
        <is>
          <t>📍</t>
        </is>
      </c>
      <c r="H119" s="11" t="inlineStr"/>
      <c r="I119" s="11" t="inlineStr"/>
      <c r="J119" s="40" t="inlineStr">
        <is>
          <t>🔥 Без сайту</t>
        </is>
      </c>
      <c r="K119" s="39" t="inlineStr">
        <is>
          <t>❌</t>
        </is>
      </c>
      <c r="L119" s="16" t="inlineStr">
        <is>
          <t>❌</t>
        </is>
      </c>
      <c r="M119" s="38" t="inlineStr">
        <is>
          <t>🟢 A</t>
        </is>
      </c>
      <c r="N119" s="10" t="inlineStr"/>
      <c r="O119" s="10" t="inlineStr"/>
      <c r="P119" s="11" t="inlineStr">
        <is>
          <t>—</t>
        </is>
      </c>
      <c r="Q119" s="11" t="inlineStr"/>
      <c r="R119" s="18" t="n"/>
      <c r="S119" s="11" t="inlineStr"/>
      <c r="T119" s="19" t="inlineStr">
        <is>
          <t>🟡 Новий</t>
        </is>
      </c>
      <c r="U119" s="10" t="inlineStr"/>
      <c r="V119" s="18" t="n"/>
      <c r="W119" s="10" t="inlineStr"/>
    </row>
    <row r="120" ht="20" customHeight="1">
      <c r="A120" s="20" t="n">
        <v>118</v>
      </c>
      <c r="B120" s="21" t="inlineStr">
        <is>
          <t>Coffelab</t>
        </is>
      </c>
      <c r="C120" s="21" t="inlineStr">
        <is>
          <t>Львів</t>
        </is>
      </c>
      <c r="D120" s="23" t="inlineStr"/>
      <c r="E120" s="23" t="inlineStr"/>
      <c r="F120" s="23" t="inlineStr"/>
      <c r="G120" s="25" t="inlineStr">
        <is>
          <t>📍</t>
        </is>
      </c>
      <c r="H120" s="23" t="inlineStr"/>
      <c r="I120" s="23" t="inlineStr"/>
      <c r="J120" s="40" t="inlineStr">
        <is>
          <t>🔥 Без сайту</t>
        </is>
      </c>
      <c r="K120" s="37" t="inlineStr">
        <is>
          <t>❌</t>
        </is>
      </c>
      <c r="L120" s="27" t="inlineStr">
        <is>
          <t>❌</t>
        </is>
      </c>
      <c r="M120" s="38" t="inlineStr">
        <is>
          <t>🟢 A</t>
        </is>
      </c>
      <c r="N120" s="21" t="inlineStr"/>
      <c r="O120" s="21" t="inlineStr"/>
      <c r="P120" s="23" t="inlineStr">
        <is>
          <t>—</t>
        </is>
      </c>
      <c r="Q120" s="23" t="inlineStr"/>
      <c r="R120" s="28" t="n"/>
      <c r="S120" s="23" t="inlineStr"/>
      <c r="T120" s="19" t="inlineStr">
        <is>
          <t>🟡 Новий</t>
        </is>
      </c>
      <c r="U120" s="21" t="inlineStr"/>
      <c r="V120" s="28" t="n"/>
      <c r="W120" s="21" t="inlineStr"/>
    </row>
    <row r="121" ht="20" customHeight="1">
      <c r="A121" s="9" t="n">
        <v>119</v>
      </c>
      <c r="B121" s="10" t="inlineStr">
        <is>
          <t>Cold comfort</t>
        </is>
      </c>
      <c r="C121" s="10" t="inlineStr">
        <is>
          <t>Львів</t>
        </is>
      </c>
      <c r="D121" s="11" t="inlineStr"/>
      <c r="E121" s="11" t="inlineStr"/>
      <c r="F121" s="11" t="inlineStr"/>
      <c r="G121" s="13" t="inlineStr">
        <is>
          <t>📍</t>
        </is>
      </c>
      <c r="H121" s="11" t="inlineStr"/>
      <c r="I121" s="11" t="inlineStr"/>
      <c r="J121" s="40" t="inlineStr">
        <is>
          <t>🔥 Без сайту</t>
        </is>
      </c>
      <c r="K121" s="39" t="inlineStr">
        <is>
          <t>❌</t>
        </is>
      </c>
      <c r="L121" s="16" t="inlineStr">
        <is>
          <t>❌</t>
        </is>
      </c>
      <c r="M121" s="38" t="inlineStr">
        <is>
          <t>🟢 A</t>
        </is>
      </c>
      <c r="N121" s="10" t="inlineStr"/>
      <c r="O121" s="10" t="inlineStr"/>
      <c r="P121" s="11" t="inlineStr">
        <is>
          <t>—</t>
        </is>
      </c>
      <c r="Q121" s="11" t="inlineStr"/>
      <c r="R121" s="18" t="n"/>
      <c r="S121" s="11" t="inlineStr"/>
      <c r="T121" s="19" t="inlineStr">
        <is>
          <t>🟡 Новий</t>
        </is>
      </c>
      <c r="U121" s="10" t="inlineStr"/>
      <c r="V121" s="18" t="n"/>
      <c r="W121" s="10" t="inlineStr"/>
    </row>
    <row r="122" ht="20" customHeight="1">
      <c r="A122" s="20" t="n">
        <v>120</v>
      </c>
      <c r="B122" s="21" t="inlineStr">
        <is>
          <t>Coq &amp; Tail</t>
        </is>
      </c>
      <c r="C122" s="21" t="inlineStr">
        <is>
          <t>Львів</t>
        </is>
      </c>
      <c r="D122" s="23" t="inlineStr"/>
      <c r="E122" s="23" t="inlineStr"/>
      <c r="F122" s="23" t="inlineStr"/>
      <c r="G122" s="25" t="inlineStr">
        <is>
          <t>📍</t>
        </is>
      </c>
      <c r="H122" s="23" t="inlineStr"/>
      <c r="I122" s="23" t="inlineStr"/>
      <c r="J122" s="40" t="inlineStr">
        <is>
          <t>🔥 Без сайту</t>
        </is>
      </c>
      <c r="K122" s="37" t="inlineStr">
        <is>
          <t>❌</t>
        </is>
      </c>
      <c r="L122" s="27" t="inlineStr">
        <is>
          <t>❌</t>
        </is>
      </c>
      <c r="M122" s="38" t="inlineStr">
        <is>
          <t>🟢 A</t>
        </is>
      </c>
      <c r="N122" s="21" t="inlineStr"/>
      <c r="O122" s="21" t="inlineStr"/>
      <c r="P122" s="23" t="inlineStr">
        <is>
          <t>—</t>
        </is>
      </c>
      <c r="Q122" s="23" t="inlineStr"/>
      <c r="R122" s="28" t="n"/>
      <c r="S122" s="23" t="inlineStr"/>
      <c r="T122" s="19" t="inlineStr">
        <is>
          <t>🟡 Новий</t>
        </is>
      </c>
      <c r="U122" s="21" t="inlineStr"/>
      <c r="V122" s="28" t="n"/>
      <c r="W122" s="21" t="inlineStr"/>
    </row>
    <row r="123" ht="20" customHeight="1">
      <c r="A123" s="9" t="n">
        <v>121</v>
      </c>
      <c r="B123" s="10" t="inlineStr">
        <is>
          <t>Delicateka</t>
        </is>
      </c>
      <c r="C123" s="10" t="inlineStr">
        <is>
          <t>Львів</t>
        </is>
      </c>
      <c r="D123" s="11" t="inlineStr"/>
      <c r="E123" s="11" t="inlineStr"/>
      <c r="F123" s="11" t="inlineStr"/>
      <c r="G123" s="13" t="inlineStr">
        <is>
          <t>📍</t>
        </is>
      </c>
      <c r="H123" s="11" t="inlineStr"/>
      <c r="I123" s="11" t="inlineStr"/>
      <c r="J123" s="40" t="inlineStr">
        <is>
          <t>🔥 Без сайту</t>
        </is>
      </c>
      <c r="K123" s="39" t="inlineStr">
        <is>
          <t>❌</t>
        </is>
      </c>
      <c r="L123" s="16" t="inlineStr">
        <is>
          <t>❌</t>
        </is>
      </c>
      <c r="M123" s="38" t="inlineStr">
        <is>
          <t>🟢 A</t>
        </is>
      </c>
      <c r="N123" s="10" t="inlineStr"/>
      <c r="O123" s="10" t="inlineStr"/>
      <c r="P123" s="11" t="inlineStr">
        <is>
          <t>—</t>
        </is>
      </c>
      <c r="Q123" s="11" t="inlineStr"/>
      <c r="R123" s="18" t="n"/>
      <c r="S123" s="11" t="inlineStr"/>
      <c r="T123" s="19" t="inlineStr">
        <is>
          <t>🟡 Новий</t>
        </is>
      </c>
      <c r="U123" s="10" t="inlineStr"/>
      <c r="V123" s="18" t="n"/>
      <c r="W123" s="10" t="inlineStr"/>
    </row>
    <row r="124" ht="20" customHeight="1">
      <c r="A124" s="20" t="n">
        <v>122</v>
      </c>
      <c r="B124" s="21" t="inlineStr">
        <is>
          <t>Dogs Like Ducks</t>
        </is>
      </c>
      <c r="C124" s="21" t="inlineStr">
        <is>
          <t>Львів</t>
        </is>
      </c>
      <c r="D124" s="23" t="inlineStr"/>
      <c r="E124" s="23" t="inlineStr"/>
      <c r="F124" s="23" t="inlineStr"/>
      <c r="G124" s="25" t="inlineStr">
        <is>
          <t>📍</t>
        </is>
      </c>
      <c r="H124" s="23" t="inlineStr"/>
      <c r="I124" s="23" t="inlineStr"/>
      <c r="J124" s="40" t="inlineStr">
        <is>
          <t>🔥 Без сайту</t>
        </is>
      </c>
      <c r="K124" s="37" t="inlineStr">
        <is>
          <t>❌</t>
        </is>
      </c>
      <c r="L124" s="27" t="inlineStr">
        <is>
          <t>❌</t>
        </is>
      </c>
      <c r="M124" s="38" t="inlineStr">
        <is>
          <t>🟢 A</t>
        </is>
      </c>
      <c r="N124" s="21" t="inlineStr"/>
      <c r="O124" s="21" t="inlineStr"/>
      <c r="P124" s="23" t="inlineStr">
        <is>
          <t>—</t>
        </is>
      </c>
      <c r="Q124" s="23" t="inlineStr"/>
      <c r="R124" s="28" t="n"/>
      <c r="S124" s="23" t="inlineStr"/>
      <c r="T124" s="19" t="inlineStr">
        <is>
          <t>🟡 Новий</t>
        </is>
      </c>
      <c r="U124" s="21" t="inlineStr"/>
      <c r="V124" s="28" t="n"/>
      <c r="W124" s="21" t="inlineStr"/>
    </row>
    <row r="125" ht="20" customHeight="1">
      <c r="A125" s="9" t="n">
        <v>123</v>
      </c>
      <c r="B125" s="10" t="inlineStr">
        <is>
          <t>Donuts Bar</t>
        </is>
      </c>
      <c r="C125" s="10" t="inlineStr">
        <is>
          <t>Львів</t>
        </is>
      </c>
      <c r="D125" s="11" t="inlineStr"/>
      <c r="E125" s="11" t="inlineStr"/>
      <c r="F125" s="11" t="inlineStr"/>
      <c r="G125" s="13" t="inlineStr">
        <is>
          <t>📍</t>
        </is>
      </c>
      <c r="H125" s="11" t="inlineStr"/>
      <c r="I125" s="11" t="inlineStr"/>
      <c r="J125" s="40" t="inlineStr">
        <is>
          <t>🔥 Без сайту</t>
        </is>
      </c>
      <c r="K125" s="39" t="inlineStr">
        <is>
          <t>❌</t>
        </is>
      </c>
      <c r="L125" s="16" t="inlineStr">
        <is>
          <t>❌</t>
        </is>
      </c>
      <c r="M125" s="38" t="inlineStr">
        <is>
          <t>🟢 A</t>
        </is>
      </c>
      <c r="N125" s="10" t="inlineStr"/>
      <c r="O125" s="10" t="inlineStr"/>
      <c r="P125" s="11" t="inlineStr">
        <is>
          <t>—</t>
        </is>
      </c>
      <c r="Q125" s="11" t="inlineStr"/>
      <c r="R125" s="18" t="n"/>
      <c r="S125" s="11" t="inlineStr"/>
      <c r="T125" s="19" t="inlineStr">
        <is>
          <t>🟡 Новий</t>
        </is>
      </c>
      <c r="U125" s="10" t="inlineStr"/>
      <c r="V125" s="18" t="n"/>
      <c r="W125" s="10" t="inlineStr"/>
    </row>
    <row r="126" ht="20" customHeight="1">
      <c r="A126" s="20" t="n">
        <v>124</v>
      </c>
      <c r="B126" s="21" t="inlineStr">
        <is>
          <t>E.Cafe</t>
        </is>
      </c>
      <c r="C126" s="21" t="inlineStr">
        <is>
          <t>Львів</t>
        </is>
      </c>
      <c r="D126" s="23" t="inlineStr"/>
      <c r="E126" s="23" t="inlineStr"/>
      <c r="F126" s="23" t="inlineStr"/>
      <c r="G126" s="25" t="inlineStr">
        <is>
          <t>📍</t>
        </is>
      </c>
      <c r="H126" s="23" t="inlineStr"/>
      <c r="I126" s="23" t="inlineStr"/>
      <c r="J126" s="40" t="inlineStr">
        <is>
          <t>🔥 Без сайту</t>
        </is>
      </c>
      <c r="K126" s="37" t="inlineStr">
        <is>
          <t>❌</t>
        </is>
      </c>
      <c r="L126" s="27" t="inlineStr">
        <is>
          <t>❌</t>
        </is>
      </c>
      <c r="M126" s="38" t="inlineStr">
        <is>
          <t>🟢 A</t>
        </is>
      </c>
      <c r="N126" s="21" t="inlineStr"/>
      <c r="O126" s="21" t="inlineStr"/>
      <c r="P126" s="23" t="inlineStr">
        <is>
          <t>—</t>
        </is>
      </c>
      <c r="Q126" s="23" t="inlineStr"/>
      <c r="R126" s="28" t="n"/>
      <c r="S126" s="23" t="inlineStr"/>
      <c r="T126" s="19" t="inlineStr">
        <is>
          <t>🟡 Новий</t>
        </is>
      </c>
      <c r="U126" s="21" t="inlineStr"/>
      <c r="V126" s="28" t="n"/>
      <c r="W126" s="21" t="inlineStr"/>
    </row>
    <row r="127" ht="20" customHeight="1">
      <c r="A127" s="9" t="n">
        <v>125</v>
      </c>
      <c r="B127" s="10" t="inlineStr">
        <is>
          <t>Flat5</t>
        </is>
      </c>
      <c r="C127" s="10" t="inlineStr">
        <is>
          <t>Львів</t>
        </is>
      </c>
      <c r="D127" s="11" t="inlineStr"/>
      <c r="E127" s="11" t="inlineStr"/>
      <c r="F127" s="11" t="inlineStr"/>
      <c r="G127" s="13" t="inlineStr">
        <is>
          <t>📍</t>
        </is>
      </c>
      <c r="H127" s="11" t="inlineStr"/>
      <c r="I127" s="11" t="inlineStr"/>
      <c r="J127" s="40" t="inlineStr">
        <is>
          <t>🔥 Без сайту</t>
        </is>
      </c>
      <c r="K127" s="39" t="inlineStr">
        <is>
          <t>❌</t>
        </is>
      </c>
      <c r="L127" s="16" t="inlineStr">
        <is>
          <t>❌</t>
        </is>
      </c>
      <c r="M127" s="38" t="inlineStr">
        <is>
          <t>🟢 A</t>
        </is>
      </c>
      <c r="N127" s="10" t="inlineStr"/>
      <c r="O127" s="10" t="inlineStr"/>
      <c r="P127" s="11" t="inlineStr">
        <is>
          <t>—</t>
        </is>
      </c>
      <c r="Q127" s="11" t="inlineStr"/>
      <c r="R127" s="18" t="n"/>
      <c r="S127" s="11" t="inlineStr"/>
      <c r="T127" s="19" t="inlineStr">
        <is>
          <t>🟡 Новий</t>
        </is>
      </c>
      <c r="U127" s="10" t="inlineStr"/>
      <c r="V127" s="18" t="n"/>
      <c r="W127" s="10" t="inlineStr"/>
    </row>
    <row r="128" ht="20" customHeight="1">
      <c r="A128" s="20" t="n">
        <v>126</v>
      </c>
      <c r="B128" s="21" t="inlineStr">
        <is>
          <t>Food Garage</t>
        </is>
      </c>
      <c r="C128" s="21" t="inlineStr">
        <is>
          <t>Львів</t>
        </is>
      </c>
      <c r="D128" s="23" t="inlineStr"/>
      <c r="E128" s="23" t="inlineStr"/>
      <c r="F128" s="23" t="inlineStr"/>
      <c r="G128" s="25" t="inlineStr">
        <is>
          <t>📍</t>
        </is>
      </c>
      <c r="H128" s="23" t="inlineStr"/>
      <c r="I128" s="23" t="inlineStr"/>
      <c r="J128" s="40" t="inlineStr">
        <is>
          <t>🔥 Без сайту</t>
        </is>
      </c>
      <c r="K128" s="37" t="inlineStr">
        <is>
          <t>❌</t>
        </is>
      </c>
      <c r="L128" s="27" t="inlineStr">
        <is>
          <t>❌</t>
        </is>
      </c>
      <c r="M128" s="38" t="inlineStr">
        <is>
          <t>🟢 A</t>
        </is>
      </c>
      <c r="N128" s="21" t="inlineStr"/>
      <c r="O128" s="21" t="inlineStr"/>
      <c r="P128" s="23" t="inlineStr">
        <is>
          <t>—</t>
        </is>
      </c>
      <c r="Q128" s="23" t="inlineStr"/>
      <c r="R128" s="28" t="n"/>
      <c r="S128" s="23" t="inlineStr"/>
      <c r="T128" s="19" t="inlineStr">
        <is>
          <t>🟡 Новий</t>
        </is>
      </c>
      <c r="U128" s="21" t="inlineStr"/>
      <c r="V128" s="28" t="n"/>
      <c r="W128" s="21" t="inlineStr"/>
    </row>
    <row r="129" ht="20" customHeight="1">
      <c r="A129" s="9" t="n">
        <v>127</v>
      </c>
      <c r="B129" s="10" t="inlineStr">
        <is>
          <t>Forum Lviv</t>
        </is>
      </c>
      <c r="C129" s="10" t="inlineStr">
        <is>
          <t>Львів</t>
        </is>
      </c>
      <c r="D129" s="11" t="inlineStr"/>
      <c r="E129" s="11" t="inlineStr"/>
      <c r="F129" s="11" t="inlineStr"/>
      <c r="G129" s="13" t="inlineStr">
        <is>
          <t>📍</t>
        </is>
      </c>
      <c r="H129" s="11" t="inlineStr"/>
      <c r="I129" s="11" t="inlineStr"/>
      <c r="J129" s="40" t="inlineStr">
        <is>
          <t>🔥 Без сайту</t>
        </is>
      </c>
      <c r="K129" s="39" t="inlineStr">
        <is>
          <t>❌</t>
        </is>
      </c>
      <c r="L129" s="16" t="inlineStr">
        <is>
          <t>❌</t>
        </is>
      </c>
      <c r="M129" s="38" t="inlineStr">
        <is>
          <t>🟢 A</t>
        </is>
      </c>
      <c r="N129" s="10" t="inlineStr"/>
      <c r="O129" s="10" t="inlineStr"/>
      <c r="P129" s="11" t="inlineStr">
        <is>
          <t>—</t>
        </is>
      </c>
      <c r="Q129" s="11" t="inlineStr"/>
      <c r="R129" s="18" t="n"/>
      <c r="S129" s="11" t="inlineStr"/>
      <c r="T129" s="19" t="inlineStr">
        <is>
          <t>🟡 Новий</t>
        </is>
      </c>
      <c r="U129" s="10" t="inlineStr"/>
      <c r="V129" s="18" t="n"/>
      <c r="W129" s="10" t="inlineStr"/>
    </row>
    <row r="130" ht="20" customHeight="1">
      <c r="A130" s="20" t="n">
        <v>128</v>
      </c>
      <c r="B130" s="21" t="inlineStr">
        <is>
          <t>Fraerka</t>
        </is>
      </c>
      <c r="C130" s="21" t="inlineStr">
        <is>
          <t>Львів</t>
        </is>
      </c>
      <c r="D130" s="23" t="inlineStr"/>
      <c r="E130" s="23" t="inlineStr"/>
      <c r="F130" s="23" t="inlineStr"/>
      <c r="G130" s="25" t="inlineStr">
        <is>
          <t>📍</t>
        </is>
      </c>
      <c r="H130" s="23" t="inlineStr"/>
      <c r="I130" s="23" t="inlineStr"/>
      <c r="J130" s="40" t="inlineStr">
        <is>
          <t>🔥 Без сайту</t>
        </is>
      </c>
      <c r="K130" s="37" t="inlineStr">
        <is>
          <t>❌</t>
        </is>
      </c>
      <c r="L130" s="27" t="inlineStr">
        <is>
          <t>❌</t>
        </is>
      </c>
      <c r="M130" s="38" t="inlineStr">
        <is>
          <t>🟢 A</t>
        </is>
      </c>
      <c r="N130" s="21" t="inlineStr"/>
      <c r="O130" s="21" t="inlineStr"/>
      <c r="P130" s="23" t="inlineStr">
        <is>
          <t>—</t>
        </is>
      </c>
      <c r="Q130" s="23" t="inlineStr"/>
      <c r="R130" s="28" t="n"/>
      <c r="S130" s="23" t="inlineStr"/>
      <c r="T130" s="19" t="inlineStr">
        <is>
          <t>🟡 Новий</t>
        </is>
      </c>
      <c r="U130" s="21" t="inlineStr"/>
      <c r="V130" s="28" t="n"/>
      <c r="W130" s="21" t="inlineStr"/>
    </row>
    <row r="131" ht="20" customHeight="1">
      <c r="A131" s="9" t="n">
        <v>129</v>
      </c>
      <c r="B131" s="10" t="inlineStr">
        <is>
          <t>Frog and Dog</t>
        </is>
      </c>
      <c r="C131" s="10" t="inlineStr">
        <is>
          <t>Львів</t>
        </is>
      </c>
      <c r="D131" s="11" t="inlineStr"/>
      <c r="E131" s="11" t="inlineStr"/>
      <c r="F131" s="11" t="inlineStr"/>
      <c r="G131" s="13" t="inlineStr">
        <is>
          <t>📍</t>
        </is>
      </c>
      <c r="H131" s="11" t="inlineStr"/>
      <c r="I131" s="11" t="inlineStr"/>
      <c r="J131" s="40" t="inlineStr">
        <is>
          <t>🔥 Без сайту</t>
        </is>
      </c>
      <c r="K131" s="39" t="inlineStr">
        <is>
          <t>❌</t>
        </is>
      </c>
      <c r="L131" s="16" t="inlineStr">
        <is>
          <t>❌</t>
        </is>
      </c>
      <c r="M131" s="38" t="inlineStr">
        <is>
          <t>🟢 A</t>
        </is>
      </c>
      <c r="N131" s="10" t="inlineStr"/>
      <c r="O131" s="10" t="inlineStr"/>
      <c r="P131" s="11" t="inlineStr">
        <is>
          <t>—</t>
        </is>
      </c>
      <c r="Q131" s="11" t="inlineStr"/>
      <c r="R131" s="18" t="n"/>
      <c r="S131" s="11" t="inlineStr"/>
      <c r="T131" s="19" t="inlineStr">
        <is>
          <t>🟡 Новий</t>
        </is>
      </c>
      <c r="U131" s="10" t="inlineStr"/>
      <c r="V131" s="18" t="n"/>
      <c r="W131" s="10" t="inlineStr"/>
    </row>
    <row r="132" ht="20" customHeight="1">
      <c r="A132" s="20" t="n">
        <v>130</v>
      </c>
      <c r="B132" s="21" t="inlineStr">
        <is>
          <t>Galileo</t>
        </is>
      </c>
      <c r="C132" s="21" t="inlineStr">
        <is>
          <t>Львів</t>
        </is>
      </c>
      <c r="D132" s="23" t="inlineStr"/>
      <c r="E132" s="23" t="inlineStr"/>
      <c r="F132" s="23" t="inlineStr"/>
      <c r="G132" s="25" t="inlineStr">
        <is>
          <t>📍</t>
        </is>
      </c>
      <c r="H132" s="23" t="inlineStr"/>
      <c r="I132" s="23" t="inlineStr"/>
      <c r="J132" s="40" t="inlineStr">
        <is>
          <t>🔥 Без сайту</t>
        </is>
      </c>
      <c r="K132" s="37" t="inlineStr">
        <is>
          <t>❌</t>
        </is>
      </c>
      <c r="L132" s="27" t="inlineStr">
        <is>
          <t>❌</t>
        </is>
      </c>
      <c r="M132" s="38" t="inlineStr">
        <is>
          <t>🟢 A</t>
        </is>
      </c>
      <c r="N132" s="21" t="inlineStr"/>
      <c r="O132" s="21" t="inlineStr"/>
      <c r="P132" s="23" t="inlineStr">
        <is>
          <t>—</t>
        </is>
      </c>
      <c r="Q132" s="23" t="inlineStr"/>
      <c r="R132" s="28" t="n"/>
      <c r="S132" s="23" t="inlineStr"/>
      <c r="T132" s="19" t="inlineStr">
        <is>
          <t>🟡 Новий</t>
        </is>
      </c>
      <c r="U132" s="21" t="inlineStr"/>
      <c r="V132" s="28" t="n"/>
      <c r="W132" s="21" t="inlineStr"/>
    </row>
    <row r="133" ht="20" customHeight="1">
      <c r="A133" s="9" t="n">
        <v>131</v>
      </c>
      <c r="B133" s="10" t="inlineStr">
        <is>
          <t>Gazda</t>
        </is>
      </c>
      <c r="C133" s="10" t="inlineStr">
        <is>
          <t>Львів</t>
        </is>
      </c>
      <c r="D133" s="11" t="inlineStr"/>
      <c r="E133" s="11" t="inlineStr"/>
      <c r="F133" s="11" t="inlineStr"/>
      <c r="G133" s="13" t="inlineStr">
        <is>
          <t>📍</t>
        </is>
      </c>
      <c r="H133" s="11" t="inlineStr"/>
      <c r="I133" s="11" t="inlineStr"/>
      <c r="J133" s="40" t="inlineStr">
        <is>
          <t>🔥 Без сайту</t>
        </is>
      </c>
      <c r="K133" s="39" t="inlineStr">
        <is>
          <t>❌</t>
        </is>
      </c>
      <c r="L133" s="16" t="inlineStr">
        <is>
          <t>❌</t>
        </is>
      </c>
      <c r="M133" s="38" t="inlineStr">
        <is>
          <t>🟢 A</t>
        </is>
      </c>
      <c r="N133" s="10" t="inlineStr"/>
      <c r="O133" s="10" t="inlineStr"/>
      <c r="P133" s="11" t="inlineStr">
        <is>
          <t>—</t>
        </is>
      </c>
      <c r="Q133" s="11" t="inlineStr"/>
      <c r="R133" s="18" t="n"/>
      <c r="S133" s="11" t="inlineStr"/>
      <c r="T133" s="19" t="inlineStr">
        <is>
          <t>🟡 Новий</t>
        </is>
      </c>
      <c r="U133" s="10" t="inlineStr"/>
      <c r="V133" s="18" t="n"/>
      <c r="W133" s="10" t="inlineStr"/>
    </row>
    <row r="134" ht="20" customHeight="1">
      <c r="A134" s="20" t="n">
        <v>132</v>
      </c>
      <c r="B134" s="21" t="inlineStr">
        <is>
          <t>Glory Cafe</t>
        </is>
      </c>
      <c r="C134" s="21" t="inlineStr">
        <is>
          <t>вул. площа Адама Міцкевича, 1, Львів</t>
        </is>
      </c>
      <c r="D134" s="23" t="inlineStr"/>
      <c r="E134" s="23" t="inlineStr"/>
      <c r="F134" s="23" t="inlineStr"/>
      <c r="G134" s="25" t="inlineStr">
        <is>
          <t>📍</t>
        </is>
      </c>
      <c r="H134" s="23" t="inlineStr"/>
      <c r="I134" s="23" t="inlineStr"/>
      <c r="J134" s="40" t="inlineStr">
        <is>
          <t>🔥 Без сайту</t>
        </is>
      </c>
      <c r="K134" s="37" t="inlineStr">
        <is>
          <t>❌</t>
        </is>
      </c>
      <c r="L134" s="27" t="inlineStr">
        <is>
          <t>❌</t>
        </is>
      </c>
      <c r="M134" s="38" t="inlineStr">
        <is>
          <t>🟢 A</t>
        </is>
      </c>
      <c r="N134" s="21" t="inlineStr"/>
      <c r="O134" s="21" t="inlineStr"/>
      <c r="P134" s="23" t="inlineStr">
        <is>
          <t>—</t>
        </is>
      </c>
      <c r="Q134" s="23" t="inlineStr"/>
      <c r="R134" s="28" t="n"/>
      <c r="S134" s="23" t="inlineStr"/>
      <c r="T134" s="19" t="inlineStr">
        <is>
          <t>🟡 Новий</t>
        </is>
      </c>
      <c r="U134" s="21" t="inlineStr"/>
      <c r="V134" s="28" t="n"/>
      <c r="W134" s="21" t="inlineStr"/>
    </row>
    <row r="135" ht="20" customHeight="1">
      <c r="A135" s="9" t="n">
        <v>133</v>
      </c>
      <c r="B135" s="10" t="inlineStr">
        <is>
          <t>Granny's Bakery</t>
        </is>
      </c>
      <c r="C135" s="10" t="inlineStr">
        <is>
          <t>вул. вулиця Тараса Шевченка, 60/9, Львів</t>
        </is>
      </c>
      <c r="D135" s="11" t="inlineStr"/>
      <c r="E135" s="11" t="inlineStr"/>
      <c r="F135" s="11" t="inlineStr"/>
      <c r="G135" s="13" t="inlineStr">
        <is>
          <t>📍</t>
        </is>
      </c>
      <c r="H135" s="11" t="inlineStr"/>
      <c r="I135" s="11" t="inlineStr"/>
      <c r="J135" s="40" t="inlineStr">
        <is>
          <t>🔥 Без сайту</t>
        </is>
      </c>
      <c r="K135" s="39" t="inlineStr">
        <is>
          <t>❌</t>
        </is>
      </c>
      <c r="L135" s="16" t="inlineStr">
        <is>
          <t>❌</t>
        </is>
      </c>
      <c r="M135" s="38" t="inlineStr">
        <is>
          <t>🟢 A</t>
        </is>
      </c>
      <c r="N135" s="10" t="inlineStr"/>
      <c r="O135" s="10" t="inlineStr"/>
      <c r="P135" s="11" t="inlineStr">
        <is>
          <t>—</t>
        </is>
      </c>
      <c r="Q135" s="11" t="inlineStr"/>
      <c r="R135" s="18" t="n"/>
      <c r="S135" s="11" t="inlineStr"/>
      <c r="T135" s="19" t="inlineStr">
        <is>
          <t>🟡 Новий</t>
        </is>
      </c>
      <c r="U135" s="10" t="inlineStr"/>
      <c r="V135" s="18" t="n"/>
      <c r="W135" s="10" t="inlineStr"/>
    </row>
    <row r="136" ht="20" customHeight="1">
      <c r="A136" s="20" t="n">
        <v>134</v>
      </c>
      <c r="B136" s="21" t="inlineStr">
        <is>
          <t>Green park</t>
        </is>
      </c>
      <c r="C136" s="21" t="inlineStr">
        <is>
          <t>Львів</t>
        </is>
      </c>
      <c r="D136" s="23" t="inlineStr"/>
      <c r="E136" s="23" t="inlineStr"/>
      <c r="F136" s="23" t="inlineStr"/>
      <c r="G136" s="25" t="inlineStr">
        <is>
          <t>📍</t>
        </is>
      </c>
      <c r="H136" s="23" t="inlineStr"/>
      <c r="I136" s="23" t="inlineStr"/>
      <c r="J136" s="40" t="inlineStr">
        <is>
          <t>🔥 Без сайту</t>
        </is>
      </c>
      <c r="K136" s="37" t="inlineStr">
        <is>
          <t>❌</t>
        </is>
      </c>
      <c r="L136" s="27" t="inlineStr">
        <is>
          <t>❌</t>
        </is>
      </c>
      <c r="M136" s="38" t="inlineStr">
        <is>
          <t>🟢 A</t>
        </is>
      </c>
      <c r="N136" s="21" t="inlineStr"/>
      <c r="O136" s="21" t="inlineStr"/>
      <c r="P136" s="23" t="inlineStr">
        <is>
          <t>—</t>
        </is>
      </c>
      <c r="Q136" s="23" t="inlineStr"/>
      <c r="R136" s="28" t="n"/>
      <c r="S136" s="23" t="inlineStr"/>
      <c r="T136" s="19" t="inlineStr">
        <is>
          <t>🟡 Новий</t>
        </is>
      </c>
      <c r="U136" s="21" t="inlineStr"/>
      <c r="V136" s="28" t="n"/>
      <c r="W136" s="21" t="inlineStr"/>
    </row>
    <row r="137" ht="20" customHeight="1">
      <c r="A137" s="9" t="n">
        <v>135</v>
      </c>
      <c r="B137" s="10" t="inlineStr">
        <is>
          <t>Harz Kaffe Wein</t>
        </is>
      </c>
      <c r="C137" s="10" t="inlineStr">
        <is>
          <t>Львів</t>
        </is>
      </c>
      <c r="D137" s="11" t="inlineStr"/>
      <c r="E137" s="11" t="inlineStr"/>
      <c r="F137" s="11" t="inlineStr"/>
      <c r="G137" s="13" t="inlineStr">
        <is>
          <t>📍</t>
        </is>
      </c>
      <c r="H137" s="11" t="inlineStr"/>
      <c r="I137" s="11" t="inlineStr"/>
      <c r="J137" s="40" t="inlineStr">
        <is>
          <t>🔥 Без сайту</t>
        </is>
      </c>
      <c r="K137" s="39" t="inlineStr">
        <is>
          <t>❌</t>
        </is>
      </c>
      <c r="L137" s="16" t="inlineStr">
        <is>
          <t>❌</t>
        </is>
      </c>
      <c r="M137" s="38" t="inlineStr">
        <is>
          <t>🟢 A</t>
        </is>
      </c>
      <c r="N137" s="10" t="inlineStr"/>
      <c r="O137" s="10" t="inlineStr"/>
      <c r="P137" s="11" t="inlineStr">
        <is>
          <t>—</t>
        </is>
      </c>
      <c r="Q137" s="11" t="inlineStr"/>
      <c r="R137" s="18" t="n"/>
      <c r="S137" s="11" t="inlineStr"/>
      <c r="T137" s="19" t="inlineStr">
        <is>
          <t>🟡 Новий</t>
        </is>
      </c>
      <c r="U137" s="10" t="inlineStr"/>
      <c r="V137" s="18" t="n"/>
      <c r="W137" s="10" t="inlineStr"/>
    </row>
    <row r="138" ht="20" customHeight="1">
      <c r="A138" s="20" t="n">
        <v>136</v>
      </c>
      <c r="B138" s="21" t="inlineStr">
        <is>
          <t>I love kebab</t>
        </is>
      </c>
      <c r="C138" s="21" t="inlineStr">
        <is>
          <t>Львів</t>
        </is>
      </c>
      <c r="D138" s="23" t="inlineStr"/>
      <c r="E138" s="23" t="inlineStr"/>
      <c r="F138" s="23" t="inlineStr"/>
      <c r="G138" s="25" t="inlineStr">
        <is>
          <t>📍</t>
        </is>
      </c>
      <c r="H138" s="23" t="inlineStr"/>
      <c r="I138" s="23" t="inlineStr"/>
      <c r="J138" s="40" t="inlineStr">
        <is>
          <t>🔥 Без сайту</t>
        </is>
      </c>
      <c r="K138" s="37" t="inlineStr">
        <is>
          <t>❌</t>
        </is>
      </c>
      <c r="L138" s="27" t="inlineStr">
        <is>
          <t>❌</t>
        </is>
      </c>
      <c r="M138" s="38" t="inlineStr">
        <is>
          <t>🟢 A</t>
        </is>
      </c>
      <c r="N138" s="21" t="inlineStr"/>
      <c r="O138" s="21" t="inlineStr"/>
      <c r="P138" s="23" t="inlineStr">
        <is>
          <t>—</t>
        </is>
      </c>
      <c r="Q138" s="23" t="inlineStr"/>
      <c r="R138" s="28" t="n"/>
      <c r="S138" s="23" t="inlineStr"/>
      <c r="T138" s="19" t="inlineStr">
        <is>
          <t>🟡 Новий</t>
        </is>
      </c>
      <c r="U138" s="21" t="inlineStr"/>
      <c r="V138" s="28" t="n"/>
      <c r="W138" s="21" t="inlineStr"/>
    </row>
    <row r="139" ht="20" customHeight="1">
      <c r="A139" s="9" t="n">
        <v>137</v>
      </c>
      <c r="B139" s="10" t="inlineStr">
        <is>
          <t>ICoffee</t>
        </is>
      </c>
      <c r="C139" s="10" t="inlineStr">
        <is>
          <t>вул. проїзд Крива Липа, Львів</t>
        </is>
      </c>
      <c r="D139" s="11" t="inlineStr"/>
      <c r="E139" s="11" t="inlineStr"/>
      <c r="F139" s="11" t="inlineStr"/>
      <c r="G139" s="13" t="inlineStr">
        <is>
          <t>📍</t>
        </is>
      </c>
      <c r="H139" s="11" t="inlineStr"/>
      <c r="I139" s="11" t="inlineStr"/>
      <c r="J139" s="40" t="inlineStr">
        <is>
          <t>🔥 Без сайту</t>
        </is>
      </c>
      <c r="K139" s="39" t="inlineStr">
        <is>
          <t>❌</t>
        </is>
      </c>
      <c r="L139" s="16" t="inlineStr">
        <is>
          <t>❌</t>
        </is>
      </c>
      <c r="M139" s="38" t="inlineStr">
        <is>
          <t>🟢 A</t>
        </is>
      </c>
      <c r="N139" s="10" t="inlineStr"/>
      <c r="O139" s="10" t="inlineStr"/>
      <c r="P139" s="11" t="inlineStr">
        <is>
          <t>—</t>
        </is>
      </c>
      <c r="Q139" s="11" t="inlineStr"/>
      <c r="R139" s="18" t="n"/>
      <c r="S139" s="11" t="inlineStr"/>
      <c r="T139" s="19" t="inlineStr">
        <is>
          <t>🟡 Новий</t>
        </is>
      </c>
      <c r="U139" s="10" t="inlineStr"/>
      <c r="V139" s="18" t="n"/>
      <c r="W139" s="10" t="inlineStr"/>
    </row>
    <row r="140" ht="20" customHeight="1">
      <c r="A140" s="20" t="n">
        <v>138</v>
      </c>
      <c r="B140" s="21" t="inlineStr">
        <is>
          <t>Idea</t>
        </is>
      </c>
      <c r="C140" s="21" t="inlineStr">
        <is>
          <t>Львів</t>
        </is>
      </c>
      <c r="D140" s="23" t="inlineStr"/>
      <c r="E140" s="23" t="inlineStr"/>
      <c r="F140" s="23" t="inlineStr"/>
      <c r="G140" s="25" t="inlineStr">
        <is>
          <t>📍</t>
        </is>
      </c>
      <c r="H140" s="23" t="inlineStr"/>
      <c r="I140" s="23" t="inlineStr"/>
      <c r="J140" s="40" t="inlineStr">
        <is>
          <t>🔥 Без сайту</t>
        </is>
      </c>
      <c r="K140" s="37" t="inlineStr">
        <is>
          <t>❌</t>
        </is>
      </c>
      <c r="L140" s="27" t="inlineStr">
        <is>
          <t>❌</t>
        </is>
      </c>
      <c r="M140" s="38" t="inlineStr">
        <is>
          <t>🟢 A</t>
        </is>
      </c>
      <c r="N140" s="21" t="inlineStr"/>
      <c r="O140" s="21" t="inlineStr"/>
      <c r="P140" s="23" t="inlineStr">
        <is>
          <t>—</t>
        </is>
      </c>
      <c r="Q140" s="23" t="inlineStr"/>
      <c r="R140" s="28" t="n"/>
      <c r="S140" s="23" t="inlineStr"/>
      <c r="T140" s="19" t="inlineStr">
        <is>
          <t>🟡 Новий</t>
        </is>
      </c>
      <c r="U140" s="21" t="inlineStr"/>
      <c r="V140" s="28" t="n"/>
      <c r="W140" s="21" t="inlineStr"/>
    </row>
    <row r="141" ht="20" customHeight="1">
      <c r="A141" s="9" t="n">
        <v>139</v>
      </c>
      <c r="B141" s="10" t="inlineStr">
        <is>
          <t>Jam Factory Art Center</t>
        </is>
      </c>
      <c r="C141" s="10" t="inlineStr">
        <is>
          <t>вул. вулиця Богдана Хмельницького, 124, Львів</t>
        </is>
      </c>
      <c r="D141" s="11" t="inlineStr"/>
      <c r="E141" s="11" t="inlineStr"/>
      <c r="F141" s="11" t="inlineStr"/>
      <c r="G141" s="13" t="inlineStr">
        <is>
          <t>📍</t>
        </is>
      </c>
      <c r="H141" s="11" t="inlineStr"/>
      <c r="I141" s="11" t="inlineStr"/>
      <c r="J141" s="40" t="inlineStr">
        <is>
          <t>🔥 Без сайту</t>
        </is>
      </c>
      <c r="K141" s="39" t="inlineStr">
        <is>
          <t>❌</t>
        </is>
      </c>
      <c r="L141" s="16" t="inlineStr">
        <is>
          <t>❌</t>
        </is>
      </c>
      <c r="M141" s="38" t="inlineStr">
        <is>
          <t>🟢 A</t>
        </is>
      </c>
      <c r="N141" s="10" t="inlineStr"/>
      <c r="O141" s="10" t="inlineStr"/>
      <c r="P141" s="11" t="inlineStr">
        <is>
          <t>—</t>
        </is>
      </c>
      <c r="Q141" s="11" t="inlineStr"/>
      <c r="R141" s="18" t="n"/>
      <c r="S141" s="11" t="inlineStr"/>
      <c r="T141" s="19" t="inlineStr">
        <is>
          <t>🟡 Новий</t>
        </is>
      </c>
      <c r="U141" s="10" t="inlineStr"/>
      <c r="V141" s="18" t="n"/>
      <c r="W141" s="10" t="inlineStr"/>
    </row>
    <row r="142" ht="20" customHeight="1">
      <c r="A142" s="20" t="n">
        <v>140</v>
      </c>
      <c r="B142" s="21" t="inlineStr">
        <is>
          <t>KAWARНЯ</t>
        </is>
      </c>
      <c r="C142" s="21" t="inlineStr">
        <is>
          <t>Львів</t>
        </is>
      </c>
      <c r="D142" s="23" t="inlineStr"/>
      <c r="E142" s="23" t="inlineStr"/>
      <c r="F142" s="23" t="inlineStr"/>
      <c r="G142" s="25" t="inlineStr">
        <is>
          <t>📍</t>
        </is>
      </c>
      <c r="H142" s="23" t="inlineStr"/>
      <c r="I142" s="23" t="inlineStr"/>
      <c r="J142" s="40" t="inlineStr">
        <is>
          <t>🔥 Без сайту</t>
        </is>
      </c>
      <c r="K142" s="37" t="inlineStr">
        <is>
          <t>❌</t>
        </is>
      </c>
      <c r="L142" s="27" t="inlineStr">
        <is>
          <t>❌</t>
        </is>
      </c>
      <c r="M142" s="38" t="inlineStr">
        <is>
          <t>🟢 A</t>
        </is>
      </c>
      <c r="N142" s="21" t="inlineStr"/>
      <c r="O142" s="21" t="inlineStr"/>
      <c r="P142" s="23" t="inlineStr">
        <is>
          <t>—</t>
        </is>
      </c>
      <c r="Q142" s="23" t="inlineStr"/>
      <c r="R142" s="28" t="n"/>
      <c r="S142" s="23" t="inlineStr"/>
      <c r="T142" s="19" t="inlineStr">
        <is>
          <t>🟡 Новий</t>
        </is>
      </c>
      <c r="U142" s="21" t="inlineStr"/>
      <c r="V142" s="28" t="n"/>
      <c r="W142" s="21" t="inlineStr"/>
    </row>
    <row r="143" ht="20" customHeight="1">
      <c r="A143" s="9" t="n">
        <v>141</v>
      </c>
      <c r="B143" s="10" t="inlineStr">
        <is>
          <t>KaVa</t>
        </is>
      </c>
      <c r="C143" s="10" t="inlineStr">
        <is>
          <t>Львів</t>
        </is>
      </c>
      <c r="D143" s="11" t="inlineStr"/>
      <c r="E143" s="11" t="inlineStr"/>
      <c r="F143" s="11" t="inlineStr"/>
      <c r="G143" s="13" t="inlineStr">
        <is>
          <t>📍</t>
        </is>
      </c>
      <c r="H143" s="11" t="inlineStr"/>
      <c r="I143" s="11" t="inlineStr"/>
      <c r="J143" s="40" t="inlineStr">
        <is>
          <t>🔥 Без сайту</t>
        </is>
      </c>
      <c r="K143" s="39" t="inlineStr">
        <is>
          <t>❌</t>
        </is>
      </c>
      <c r="L143" s="16" t="inlineStr">
        <is>
          <t>❌</t>
        </is>
      </c>
      <c r="M143" s="38" t="inlineStr">
        <is>
          <t>🟢 A</t>
        </is>
      </c>
      <c r="N143" s="10" t="inlineStr"/>
      <c r="O143" s="10" t="inlineStr"/>
      <c r="P143" s="11" t="inlineStr">
        <is>
          <t>—</t>
        </is>
      </c>
      <c r="Q143" s="11" t="inlineStr"/>
      <c r="R143" s="18" t="n"/>
      <c r="S143" s="11" t="inlineStr"/>
      <c r="T143" s="19" t="inlineStr">
        <is>
          <t>🟡 Новий</t>
        </is>
      </c>
      <c r="U143" s="10" t="inlineStr"/>
      <c r="V143" s="18" t="n"/>
      <c r="W143" s="10" t="inlineStr"/>
    </row>
    <row r="144" ht="20" customHeight="1">
      <c r="A144" s="20" t="n">
        <v>142</v>
      </c>
      <c r="B144" s="21" t="inlineStr">
        <is>
          <t>Kebab</t>
        </is>
      </c>
      <c r="C144" s="21" t="inlineStr">
        <is>
          <t>Львів</t>
        </is>
      </c>
      <c r="D144" s="23" t="inlineStr"/>
      <c r="E144" s="23" t="inlineStr"/>
      <c r="F144" s="23" t="inlineStr"/>
      <c r="G144" s="25" t="inlineStr">
        <is>
          <t>📍</t>
        </is>
      </c>
      <c r="H144" s="23" t="inlineStr"/>
      <c r="I144" s="23" t="inlineStr"/>
      <c r="J144" s="40" t="inlineStr">
        <is>
          <t>🔥 Без сайту</t>
        </is>
      </c>
      <c r="K144" s="37" t="inlineStr">
        <is>
          <t>❌</t>
        </is>
      </c>
      <c r="L144" s="27" t="inlineStr">
        <is>
          <t>❌</t>
        </is>
      </c>
      <c r="M144" s="38" t="inlineStr">
        <is>
          <t>🟢 A</t>
        </is>
      </c>
      <c r="N144" s="21" t="inlineStr"/>
      <c r="O144" s="21" t="inlineStr"/>
      <c r="P144" s="23" t="inlineStr">
        <is>
          <t>—</t>
        </is>
      </c>
      <c r="Q144" s="23" t="inlineStr"/>
      <c r="R144" s="28" t="n"/>
      <c r="S144" s="23" t="inlineStr"/>
      <c r="T144" s="19" t="inlineStr">
        <is>
          <t>🟡 Новий</t>
        </is>
      </c>
      <c r="U144" s="21" t="inlineStr"/>
      <c r="V144" s="28" t="n"/>
      <c r="W144" s="21" t="inlineStr"/>
    </row>
    <row r="145" ht="20" customHeight="1">
      <c r="A145" s="9" t="n">
        <v>143</v>
      </c>
      <c r="B145" s="10" t="inlineStr">
        <is>
          <t>Kolos</t>
        </is>
      </c>
      <c r="C145" s="10" t="inlineStr">
        <is>
          <t>Львів</t>
        </is>
      </c>
      <c r="D145" s="11" t="inlineStr"/>
      <c r="E145" s="11" t="inlineStr"/>
      <c r="F145" s="11" t="inlineStr"/>
      <c r="G145" s="13" t="inlineStr">
        <is>
          <t>📍</t>
        </is>
      </c>
      <c r="H145" s="11" t="inlineStr"/>
      <c r="I145" s="11" t="inlineStr"/>
      <c r="J145" s="40" t="inlineStr">
        <is>
          <t>🔥 Без сайту</t>
        </is>
      </c>
      <c r="K145" s="39" t="inlineStr">
        <is>
          <t>❌</t>
        </is>
      </c>
      <c r="L145" s="16" t="inlineStr">
        <is>
          <t>❌</t>
        </is>
      </c>
      <c r="M145" s="38" t="inlineStr">
        <is>
          <t>🟢 A</t>
        </is>
      </c>
      <c r="N145" s="10" t="inlineStr"/>
      <c r="O145" s="10" t="inlineStr"/>
      <c r="P145" s="11" t="inlineStr">
        <is>
          <t>—</t>
        </is>
      </c>
      <c r="Q145" s="11" t="inlineStr"/>
      <c r="R145" s="18" t="n"/>
      <c r="S145" s="11" t="inlineStr"/>
      <c r="T145" s="19" t="inlineStr">
        <is>
          <t>🟡 Новий</t>
        </is>
      </c>
      <c r="U145" s="10" t="inlineStr"/>
      <c r="V145" s="18" t="n"/>
      <c r="W145" s="10" t="inlineStr"/>
    </row>
    <row r="146" ht="20" customHeight="1">
      <c r="A146" s="20" t="n">
        <v>144</v>
      </c>
      <c r="B146" s="21" t="inlineStr">
        <is>
          <t>Korob</t>
        </is>
      </c>
      <c r="C146" s="21" t="inlineStr">
        <is>
          <t>Львів</t>
        </is>
      </c>
      <c r="D146" s="23" t="inlineStr"/>
      <c r="E146" s="23" t="inlineStr"/>
      <c r="F146" s="23" t="inlineStr"/>
      <c r="G146" s="25" t="inlineStr">
        <is>
          <t>📍</t>
        </is>
      </c>
      <c r="H146" s="23" t="inlineStr"/>
      <c r="I146" s="23" t="inlineStr"/>
      <c r="J146" s="40" t="inlineStr">
        <is>
          <t>🔥 Без сайту</t>
        </is>
      </c>
      <c r="K146" s="37" t="inlineStr">
        <is>
          <t>❌</t>
        </is>
      </c>
      <c r="L146" s="27" t="inlineStr">
        <is>
          <t>❌</t>
        </is>
      </c>
      <c r="M146" s="38" t="inlineStr">
        <is>
          <t>🟢 A</t>
        </is>
      </c>
      <c r="N146" s="21" t="inlineStr"/>
      <c r="O146" s="21" t="inlineStr"/>
      <c r="P146" s="23" t="inlineStr">
        <is>
          <t>—</t>
        </is>
      </c>
      <c r="Q146" s="23" t="inlineStr"/>
      <c r="R146" s="28" t="n"/>
      <c r="S146" s="23" t="inlineStr"/>
      <c r="T146" s="19" t="inlineStr">
        <is>
          <t>🟡 Новий</t>
        </is>
      </c>
      <c r="U146" s="21" t="inlineStr"/>
      <c r="V146" s="28" t="n"/>
      <c r="W146" s="21" t="inlineStr"/>
    </row>
    <row r="147" ht="20" customHeight="1">
      <c r="A147" s="9" t="n">
        <v>145</v>
      </c>
      <c r="B147" s="10" t="inlineStr">
        <is>
          <t>Kredens</t>
        </is>
      </c>
      <c r="C147" s="10" t="inlineStr">
        <is>
          <t>Львів</t>
        </is>
      </c>
      <c r="D147" s="11" t="inlineStr"/>
      <c r="E147" s="11" t="inlineStr"/>
      <c r="F147" s="11" t="inlineStr"/>
      <c r="G147" s="13" t="inlineStr">
        <is>
          <t>📍</t>
        </is>
      </c>
      <c r="H147" s="11" t="inlineStr"/>
      <c r="I147" s="11" t="inlineStr"/>
      <c r="J147" s="40" t="inlineStr">
        <is>
          <t>🔥 Без сайту</t>
        </is>
      </c>
      <c r="K147" s="39" t="inlineStr">
        <is>
          <t>❌</t>
        </is>
      </c>
      <c r="L147" s="16" t="inlineStr">
        <is>
          <t>❌</t>
        </is>
      </c>
      <c r="M147" s="38" t="inlineStr">
        <is>
          <t>🟢 A</t>
        </is>
      </c>
      <c r="N147" s="10" t="inlineStr"/>
      <c r="O147" s="10" t="inlineStr"/>
      <c r="P147" s="11" t="inlineStr">
        <is>
          <t>—</t>
        </is>
      </c>
      <c r="Q147" s="11" t="inlineStr"/>
      <c r="R147" s="18" t="n"/>
      <c r="S147" s="11" t="inlineStr"/>
      <c r="T147" s="19" t="inlineStr">
        <is>
          <t>🟡 Новий</t>
        </is>
      </c>
      <c r="U147" s="10" t="inlineStr"/>
      <c r="V147" s="18" t="n"/>
      <c r="W147" s="10" t="inlineStr"/>
    </row>
    <row r="148" ht="20" customHeight="1">
      <c r="A148" s="20" t="n">
        <v>146</v>
      </c>
      <c r="B148" s="21" t="inlineStr">
        <is>
          <t>Kvadrat</t>
        </is>
      </c>
      <c r="C148" s="21" t="inlineStr">
        <is>
          <t>Львів</t>
        </is>
      </c>
      <c r="D148" s="23" t="inlineStr"/>
      <c r="E148" s="23" t="inlineStr"/>
      <c r="F148" s="23" t="inlineStr"/>
      <c r="G148" s="25" t="inlineStr">
        <is>
          <t>📍</t>
        </is>
      </c>
      <c r="H148" s="23" t="inlineStr"/>
      <c r="I148" s="23" t="inlineStr"/>
      <c r="J148" s="40" t="inlineStr">
        <is>
          <t>🔥 Без сайту</t>
        </is>
      </c>
      <c r="K148" s="37" t="inlineStr">
        <is>
          <t>❌</t>
        </is>
      </c>
      <c r="L148" s="27" t="inlineStr">
        <is>
          <t>❌</t>
        </is>
      </c>
      <c r="M148" s="38" t="inlineStr">
        <is>
          <t>🟢 A</t>
        </is>
      </c>
      <c r="N148" s="21" t="inlineStr"/>
      <c r="O148" s="21" t="inlineStr"/>
      <c r="P148" s="23" t="inlineStr">
        <is>
          <t>—</t>
        </is>
      </c>
      <c r="Q148" s="23" t="inlineStr"/>
      <c r="R148" s="28" t="n"/>
      <c r="S148" s="23" t="inlineStr"/>
      <c r="T148" s="19" t="inlineStr">
        <is>
          <t>🟡 Новий</t>
        </is>
      </c>
      <c r="U148" s="21" t="inlineStr"/>
      <c r="V148" s="28" t="n"/>
      <c r="W148" s="21" t="inlineStr"/>
    </row>
    <row r="149" ht="20" customHeight="1">
      <c r="A149" s="9" t="n">
        <v>147</v>
      </c>
      <c r="B149" s="10" t="inlineStr">
        <is>
          <t>La Cafe</t>
        </is>
      </c>
      <c r="C149" s="10" t="inlineStr">
        <is>
          <t>вул. вулиця Шептицьких, 45б, Львів</t>
        </is>
      </c>
      <c r="D149" s="11" t="inlineStr"/>
      <c r="E149" s="11" t="inlineStr"/>
      <c r="F149" s="11" t="inlineStr"/>
      <c r="G149" s="13" t="inlineStr">
        <is>
          <t>📍</t>
        </is>
      </c>
      <c r="H149" s="11" t="inlineStr"/>
      <c r="I149" s="11" t="inlineStr"/>
      <c r="J149" s="40" t="inlineStr">
        <is>
          <t>🔥 Без сайту</t>
        </is>
      </c>
      <c r="K149" s="39" t="inlineStr">
        <is>
          <t>❌</t>
        </is>
      </c>
      <c r="L149" s="16" t="inlineStr">
        <is>
          <t>❌</t>
        </is>
      </c>
      <c r="M149" s="38" t="inlineStr">
        <is>
          <t>🟢 A</t>
        </is>
      </c>
      <c r="N149" s="10" t="inlineStr"/>
      <c r="O149" s="10" t="inlineStr"/>
      <c r="P149" s="11" t="inlineStr">
        <is>
          <t>—</t>
        </is>
      </c>
      <c r="Q149" s="11" t="inlineStr"/>
      <c r="R149" s="18" t="n"/>
      <c r="S149" s="11" t="inlineStr"/>
      <c r="T149" s="19" t="inlineStr">
        <is>
          <t>🟡 Новий</t>
        </is>
      </c>
      <c r="U149" s="10" t="inlineStr"/>
      <c r="V149" s="18" t="n"/>
      <c r="W149" s="10" t="inlineStr"/>
    </row>
    <row r="150" ht="20" customHeight="1">
      <c r="A150" s="20" t="n">
        <v>148</v>
      </c>
      <c r="B150" s="21" t="inlineStr">
        <is>
          <t>La cafe</t>
        </is>
      </c>
      <c r="C150" s="21" t="inlineStr">
        <is>
          <t>Львів</t>
        </is>
      </c>
      <c r="D150" s="23" t="inlineStr"/>
      <c r="E150" s="23" t="inlineStr"/>
      <c r="F150" s="23" t="inlineStr"/>
      <c r="G150" s="25" t="inlineStr">
        <is>
          <t>📍</t>
        </is>
      </c>
      <c r="H150" s="23" t="inlineStr"/>
      <c r="I150" s="23" t="inlineStr"/>
      <c r="J150" s="40" t="inlineStr">
        <is>
          <t>🔥 Без сайту</t>
        </is>
      </c>
      <c r="K150" s="37" t="inlineStr">
        <is>
          <t>❌</t>
        </is>
      </c>
      <c r="L150" s="27" t="inlineStr">
        <is>
          <t>❌</t>
        </is>
      </c>
      <c r="M150" s="38" t="inlineStr">
        <is>
          <t>🟢 A</t>
        </is>
      </c>
      <c r="N150" s="21" t="inlineStr"/>
      <c r="O150" s="21" t="inlineStr"/>
      <c r="P150" s="23" t="inlineStr">
        <is>
          <t>—</t>
        </is>
      </c>
      <c r="Q150" s="23" t="inlineStr"/>
      <c r="R150" s="28" t="n"/>
      <c r="S150" s="23" t="inlineStr"/>
      <c r="T150" s="19" t="inlineStr">
        <is>
          <t>🟡 Новий</t>
        </is>
      </c>
      <c r="U150" s="21" t="inlineStr"/>
      <c r="V150" s="28" t="n"/>
      <c r="W150" s="21" t="inlineStr"/>
    </row>
    <row r="151" ht="20" customHeight="1">
      <c r="A151" s="9" t="n">
        <v>149</v>
      </c>
      <c r="B151" s="10" t="inlineStr">
        <is>
          <t>Levandowska Stacja</t>
        </is>
      </c>
      <c r="C151" s="10" t="inlineStr">
        <is>
          <t>Львів</t>
        </is>
      </c>
      <c r="D151" s="11" t="inlineStr"/>
      <c r="E151" s="11" t="inlineStr"/>
      <c r="F151" s="11" t="inlineStr"/>
      <c r="G151" s="13" t="inlineStr">
        <is>
          <t>📍</t>
        </is>
      </c>
      <c r="H151" s="11" t="inlineStr"/>
      <c r="I151" s="11" t="inlineStr"/>
      <c r="J151" s="40" t="inlineStr">
        <is>
          <t>🔥 Без сайту</t>
        </is>
      </c>
      <c r="K151" s="39" t="inlineStr">
        <is>
          <t>❌</t>
        </is>
      </c>
      <c r="L151" s="16" t="inlineStr">
        <is>
          <t>❌</t>
        </is>
      </c>
      <c r="M151" s="38" t="inlineStr">
        <is>
          <t>🟢 A</t>
        </is>
      </c>
      <c r="N151" s="10" t="inlineStr"/>
      <c r="O151" s="10" t="inlineStr"/>
      <c r="P151" s="11" t="inlineStr">
        <is>
          <t>—</t>
        </is>
      </c>
      <c r="Q151" s="11" t="inlineStr"/>
      <c r="R151" s="18" t="n"/>
      <c r="S151" s="11" t="inlineStr"/>
      <c r="T151" s="19" t="inlineStr">
        <is>
          <t>🟡 Новий</t>
        </is>
      </c>
      <c r="U151" s="10" t="inlineStr"/>
      <c r="V151" s="18" t="n"/>
      <c r="W151" s="10" t="inlineStr"/>
    </row>
    <row r="152" ht="20" customHeight="1">
      <c r="A152" s="20" t="n">
        <v>150</v>
      </c>
      <c r="B152" s="21" t="inlineStr">
        <is>
          <t>Lion</t>
        </is>
      </c>
      <c r="C152" s="21" t="inlineStr">
        <is>
          <t>Львів</t>
        </is>
      </c>
      <c r="D152" s="23" t="inlineStr"/>
      <c r="E152" s="23" t="inlineStr"/>
      <c r="F152" s="23" t="inlineStr"/>
      <c r="G152" s="25" t="inlineStr">
        <is>
          <t>📍</t>
        </is>
      </c>
      <c r="H152" s="23" t="inlineStr"/>
      <c r="I152" s="23" t="inlineStr"/>
      <c r="J152" s="40" t="inlineStr">
        <is>
          <t>🔥 Без сайту</t>
        </is>
      </c>
      <c r="K152" s="37" t="inlineStr">
        <is>
          <t>❌</t>
        </is>
      </c>
      <c r="L152" s="27" t="inlineStr">
        <is>
          <t>❌</t>
        </is>
      </c>
      <c r="M152" s="38" t="inlineStr">
        <is>
          <t>🟢 A</t>
        </is>
      </c>
      <c r="N152" s="21" t="inlineStr"/>
      <c r="O152" s="21" t="inlineStr"/>
      <c r="P152" s="23" t="inlineStr">
        <is>
          <t>—</t>
        </is>
      </c>
      <c r="Q152" s="23" t="inlineStr"/>
      <c r="R152" s="28" t="n"/>
      <c r="S152" s="23" t="inlineStr"/>
      <c r="T152" s="19" t="inlineStr">
        <is>
          <t>🟡 Новий</t>
        </is>
      </c>
      <c r="U152" s="21" t="inlineStr"/>
      <c r="V152" s="28" t="n"/>
      <c r="W152" s="21" t="inlineStr"/>
    </row>
    <row r="153" ht="20" customHeight="1">
      <c r="A153" s="9" t="n">
        <v>151</v>
      </c>
      <c r="B153" s="10" t="inlineStr">
        <is>
          <t>LoungeBar</t>
        </is>
      </c>
      <c r="C153" s="10" t="inlineStr">
        <is>
          <t>Львів</t>
        </is>
      </c>
      <c r="D153" s="11" t="inlineStr"/>
      <c r="E153" s="11" t="inlineStr"/>
      <c r="F153" s="11" t="inlineStr"/>
      <c r="G153" s="13" t="inlineStr">
        <is>
          <t>📍</t>
        </is>
      </c>
      <c r="H153" s="11" t="inlineStr"/>
      <c r="I153" s="11" t="inlineStr"/>
      <c r="J153" s="40" t="inlineStr">
        <is>
          <t>🔥 Без сайту</t>
        </is>
      </c>
      <c r="K153" s="39" t="inlineStr">
        <is>
          <t>❌</t>
        </is>
      </c>
      <c r="L153" s="16" t="inlineStr">
        <is>
          <t>❌</t>
        </is>
      </c>
      <c r="M153" s="38" t="inlineStr">
        <is>
          <t>🟢 A</t>
        </is>
      </c>
      <c r="N153" s="10" t="inlineStr"/>
      <c r="O153" s="10" t="inlineStr"/>
      <c r="P153" s="11" t="inlineStr">
        <is>
          <t>—</t>
        </is>
      </c>
      <c r="Q153" s="11" t="inlineStr"/>
      <c r="R153" s="18" t="n"/>
      <c r="S153" s="11" t="inlineStr"/>
      <c r="T153" s="19" t="inlineStr">
        <is>
          <t>🟡 Новий</t>
        </is>
      </c>
      <c r="U153" s="10" t="inlineStr"/>
      <c r="V153" s="18" t="n"/>
      <c r="W153" s="10" t="inlineStr"/>
    </row>
    <row r="154" ht="20" customHeight="1">
      <c r="A154" s="20" t="n">
        <v>152</v>
      </c>
      <c r="B154" s="21" t="inlineStr">
        <is>
          <t>Lviv creperie</t>
        </is>
      </c>
      <c r="C154" s="21" t="inlineStr">
        <is>
          <t>Львів</t>
        </is>
      </c>
      <c r="D154" s="23" t="inlineStr"/>
      <c r="E154" s="23" t="inlineStr"/>
      <c r="F154" s="23" t="inlineStr"/>
      <c r="G154" s="25" t="inlineStr">
        <is>
          <t>📍</t>
        </is>
      </c>
      <c r="H154" s="23" t="inlineStr"/>
      <c r="I154" s="23" t="inlineStr"/>
      <c r="J154" s="40" t="inlineStr">
        <is>
          <t>🔥 Без сайту</t>
        </is>
      </c>
      <c r="K154" s="37" t="inlineStr">
        <is>
          <t>❌</t>
        </is>
      </c>
      <c r="L154" s="27" t="inlineStr">
        <is>
          <t>❌</t>
        </is>
      </c>
      <c r="M154" s="38" t="inlineStr">
        <is>
          <t>🟢 A</t>
        </is>
      </c>
      <c r="N154" s="21" t="inlineStr"/>
      <c r="O154" s="21" t="inlineStr"/>
      <c r="P154" s="23" t="inlineStr">
        <is>
          <t>—</t>
        </is>
      </c>
      <c r="Q154" s="23" t="inlineStr"/>
      <c r="R154" s="28" t="n"/>
      <c r="S154" s="23" t="inlineStr"/>
      <c r="T154" s="19" t="inlineStr">
        <is>
          <t>🟡 Новий</t>
        </is>
      </c>
      <c r="U154" s="21" t="inlineStr"/>
      <c r="V154" s="28" t="n"/>
      <c r="W154" s="21" t="inlineStr"/>
    </row>
    <row r="155" ht="20" customHeight="1">
      <c r="A155" s="9" t="n">
        <v>153</v>
      </c>
      <c r="B155" s="10" t="inlineStr">
        <is>
          <t>Mazorini</t>
        </is>
      </c>
      <c r="C155" s="10" t="inlineStr">
        <is>
          <t>Львів</t>
        </is>
      </c>
      <c r="D155" s="11" t="inlineStr"/>
      <c r="E155" s="11" t="inlineStr"/>
      <c r="F155" s="11" t="inlineStr"/>
      <c r="G155" s="13" t="inlineStr">
        <is>
          <t>📍</t>
        </is>
      </c>
      <c r="H155" s="11" t="inlineStr"/>
      <c r="I155" s="11" t="inlineStr"/>
      <c r="J155" s="40" t="inlineStr">
        <is>
          <t>🔥 Без сайту</t>
        </is>
      </c>
      <c r="K155" s="39" t="inlineStr">
        <is>
          <t>❌</t>
        </is>
      </c>
      <c r="L155" s="16" t="inlineStr">
        <is>
          <t>❌</t>
        </is>
      </c>
      <c r="M155" s="38" t="inlineStr">
        <is>
          <t>🟢 A</t>
        </is>
      </c>
      <c r="N155" s="10" t="inlineStr"/>
      <c r="O155" s="10" t="inlineStr"/>
      <c r="P155" s="11" t="inlineStr">
        <is>
          <t>—</t>
        </is>
      </c>
      <c r="Q155" s="11" t="inlineStr"/>
      <c r="R155" s="18" t="n"/>
      <c r="S155" s="11" t="inlineStr"/>
      <c r="T155" s="19" t="inlineStr">
        <is>
          <t>🟡 Новий</t>
        </is>
      </c>
      <c r="U155" s="10" t="inlineStr"/>
      <c r="V155" s="18" t="n"/>
      <c r="W155" s="10" t="inlineStr"/>
    </row>
    <row r="156" ht="20" customHeight="1">
      <c r="A156" s="20" t="n">
        <v>154</v>
      </c>
      <c r="B156" s="21" t="inlineStr">
        <is>
          <t>Mexican Food</t>
        </is>
      </c>
      <c r="C156" s="21" t="inlineStr">
        <is>
          <t>Львів</t>
        </is>
      </c>
      <c r="D156" s="23" t="inlineStr"/>
      <c r="E156" s="23" t="inlineStr"/>
      <c r="F156" s="23" t="inlineStr"/>
      <c r="G156" s="25" t="inlineStr">
        <is>
          <t>📍</t>
        </is>
      </c>
      <c r="H156" s="23" t="inlineStr"/>
      <c r="I156" s="23" t="inlineStr"/>
      <c r="J156" s="40" t="inlineStr">
        <is>
          <t>🔥 Без сайту</t>
        </is>
      </c>
      <c r="K156" s="37" t="inlineStr">
        <is>
          <t>❌</t>
        </is>
      </c>
      <c r="L156" s="27" t="inlineStr">
        <is>
          <t>❌</t>
        </is>
      </c>
      <c r="M156" s="38" t="inlineStr">
        <is>
          <t>🟢 A</t>
        </is>
      </c>
      <c r="N156" s="21" t="inlineStr"/>
      <c r="O156" s="21" t="inlineStr"/>
      <c r="P156" s="23" t="inlineStr">
        <is>
          <t>—</t>
        </is>
      </c>
      <c r="Q156" s="23" t="inlineStr"/>
      <c r="R156" s="28" t="n"/>
      <c r="S156" s="23" t="inlineStr"/>
      <c r="T156" s="19" t="inlineStr">
        <is>
          <t>🟡 Новий</t>
        </is>
      </c>
      <c r="U156" s="21" t="inlineStr"/>
      <c r="V156" s="28" t="n"/>
      <c r="W156" s="21" t="inlineStr"/>
    </row>
    <row r="157" ht="20" customHeight="1">
      <c r="A157" s="9" t="n">
        <v>155</v>
      </c>
      <c r="B157" s="10" t="inlineStr">
        <is>
          <t>Milk &amp; Coffee</t>
        </is>
      </c>
      <c r="C157" s="10" t="inlineStr">
        <is>
          <t>Львів</t>
        </is>
      </c>
      <c r="D157" s="11" t="inlineStr"/>
      <c r="E157" s="11" t="inlineStr"/>
      <c r="F157" s="11" t="inlineStr"/>
      <c r="G157" s="13" t="inlineStr">
        <is>
          <t>📍</t>
        </is>
      </c>
      <c r="H157" s="11" t="inlineStr"/>
      <c r="I157" s="11" t="inlineStr"/>
      <c r="J157" s="40" t="inlineStr">
        <is>
          <t>🔥 Без сайту</t>
        </is>
      </c>
      <c r="K157" s="39" t="inlineStr">
        <is>
          <t>❌</t>
        </is>
      </c>
      <c r="L157" s="16" t="inlineStr">
        <is>
          <t>❌</t>
        </is>
      </c>
      <c r="M157" s="38" t="inlineStr">
        <is>
          <t>🟢 A</t>
        </is>
      </c>
      <c r="N157" s="10" t="inlineStr"/>
      <c r="O157" s="10" t="inlineStr"/>
      <c r="P157" s="11" t="inlineStr">
        <is>
          <t>—</t>
        </is>
      </c>
      <c r="Q157" s="11" t="inlineStr"/>
      <c r="R157" s="18" t="n"/>
      <c r="S157" s="11" t="inlineStr"/>
      <c r="T157" s="19" t="inlineStr">
        <is>
          <t>🟡 Новий</t>
        </is>
      </c>
      <c r="U157" s="10" t="inlineStr"/>
      <c r="V157" s="18" t="n"/>
      <c r="W157" s="10" t="inlineStr"/>
    </row>
    <row r="158" ht="20" customHeight="1">
      <c r="A158" s="20" t="n">
        <v>156</v>
      </c>
      <c r="B158" s="21" t="inlineStr">
        <is>
          <t>Mokka 1554</t>
        </is>
      </c>
      <c r="C158" s="21" t="inlineStr">
        <is>
          <t>вул. вулиця Євгена Коновальця, 91, Львів</t>
        </is>
      </c>
      <c r="D158" s="23" t="inlineStr"/>
      <c r="E158" s="23" t="inlineStr"/>
      <c r="F158" s="23" t="inlineStr"/>
      <c r="G158" s="25" t="inlineStr">
        <is>
          <t>📍</t>
        </is>
      </c>
      <c r="H158" s="23" t="inlineStr"/>
      <c r="I158" s="23" t="inlineStr"/>
      <c r="J158" s="40" t="inlineStr">
        <is>
          <t>🔥 Без сайту</t>
        </is>
      </c>
      <c r="K158" s="37" t="inlineStr">
        <is>
          <t>❌</t>
        </is>
      </c>
      <c r="L158" s="27" t="inlineStr">
        <is>
          <t>❌</t>
        </is>
      </c>
      <c r="M158" s="38" t="inlineStr">
        <is>
          <t>🟢 A</t>
        </is>
      </c>
      <c r="N158" s="21" t="inlineStr"/>
      <c r="O158" s="21" t="inlineStr"/>
      <c r="P158" s="23" t="inlineStr">
        <is>
          <t>—</t>
        </is>
      </c>
      <c r="Q158" s="23" t="inlineStr"/>
      <c r="R158" s="28" t="n"/>
      <c r="S158" s="23" t="inlineStr"/>
      <c r="T158" s="19" t="inlineStr">
        <is>
          <t>🟡 Новий</t>
        </is>
      </c>
      <c r="U158" s="21" t="inlineStr"/>
      <c r="V158" s="28" t="n"/>
      <c r="W158" s="21" t="inlineStr"/>
    </row>
    <row r="159" ht="20" customHeight="1">
      <c r="A159" s="9" t="n">
        <v>157</v>
      </c>
      <c r="B159" s="10" t="inlineStr">
        <is>
          <t>Mokko</t>
        </is>
      </c>
      <c r="C159" s="10" t="inlineStr">
        <is>
          <t>Львів</t>
        </is>
      </c>
      <c r="D159" s="11" t="inlineStr"/>
      <c r="E159" s="11" t="inlineStr"/>
      <c r="F159" s="11" t="inlineStr"/>
      <c r="G159" s="13" t="inlineStr">
        <is>
          <t>📍</t>
        </is>
      </c>
      <c r="H159" s="11" t="inlineStr"/>
      <c r="I159" s="11" t="inlineStr"/>
      <c r="J159" s="40" t="inlineStr">
        <is>
          <t>🔥 Без сайту</t>
        </is>
      </c>
      <c r="K159" s="39" t="inlineStr">
        <is>
          <t>❌</t>
        </is>
      </c>
      <c r="L159" s="16" t="inlineStr">
        <is>
          <t>❌</t>
        </is>
      </c>
      <c r="M159" s="38" t="inlineStr">
        <is>
          <t>🟢 A</t>
        </is>
      </c>
      <c r="N159" s="10" t="inlineStr"/>
      <c r="O159" s="10" t="inlineStr"/>
      <c r="P159" s="11" t="inlineStr">
        <is>
          <t>—</t>
        </is>
      </c>
      <c r="Q159" s="11" t="inlineStr"/>
      <c r="R159" s="18" t="n"/>
      <c r="S159" s="11" t="inlineStr"/>
      <c r="T159" s="19" t="inlineStr">
        <is>
          <t>🟡 Новий</t>
        </is>
      </c>
      <c r="U159" s="10" t="inlineStr"/>
      <c r="V159" s="18" t="n"/>
      <c r="W159" s="10" t="inlineStr"/>
    </row>
    <row r="160" ht="20" customHeight="1">
      <c r="A160" s="20" t="n">
        <v>158</v>
      </c>
      <c r="B160" s="21" t="inlineStr">
        <is>
          <t>Mollis</t>
        </is>
      </c>
      <c r="C160" s="21" t="inlineStr">
        <is>
          <t>Львів</t>
        </is>
      </c>
      <c r="D160" s="23" t="inlineStr"/>
      <c r="E160" s="23" t="inlineStr"/>
      <c r="F160" s="23" t="inlineStr"/>
      <c r="G160" s="25" t="inlineStr">
        <is>
          <t>📍</t>
        </is>
      </c>
      <c r="H160" s="23" t="inlineStr"/>
      <c r="I160" s="23" t="inlineStr"/>
      <c r="J160" s="40" t="inlineStr">
        <is>
          <t>🔥 Без сайту</t>
        </is>
      </c>
      <c r="K160" s="37" t="inlineStr">
        <is>
          <t>❌</t>
        </is>
      </c>
      <c r="L160" s="27" t="inlineStr">
        <is>
          <t>❌</t>
        </is>
      </c>
      <c r="M160" s="38" t="inlineStr">
        <is>
          <t>🟢 A</t>
        </is>
      </c>
      <c r="N160" s="21" t="inlineStr"/>
      <c r="O160" s="21" t="inlineStr"/>
      <c r="P160" s="23" t="inlineStr">
        <is>
          <t>—</t>
        </is>
      </c>
      <c r="Q160" s="23" t="inlineStr"/>
      <c r="R160" s="28" t="n"/>
      <c r="S160" s="23" t="inlineStr"/>
      <c r="T160" s="19" t="inlineStr">
        <is>
          <t>🟡 Новий</t>
        </is>
      </c>
      <c r="U160" s="21" t="inlineStr"/>
      <c r="V160" s="28" t="n"/>
      <c r="W160" s="21" t="inlineStr"/>
    </row>
    <row r="161" ht="20" customHeight="1">
      <c r="A161" s="9" t="n">
        <v>159</v>
      </c>
      <c r="B161" s="10" t="inlineStr">
        <is>
          <t>Mollis Cafe</t>
        </is>
      </c>
      <c r="C161" s="10" t="inlineStr">
        <is>
          <t>Львів</t>
        </is>
      </c>
      <c r="D161" s="11" t="inlineStr"/>
      <c r="E161" s="11" t="inlineStr"/>
      <c r="F161" s="11" t="inlineStr"/>
      <c r="G161" s="13" t="inlineStr">
        <is>
          <t>📍</t>
        </is>
      </c>
      <c r="H161" s="11" t="inlineStr"/>
      <c r="I161" s="11" t="inlineStr"/>
      <c r="J161" s="40" t="inlineStr">
        <is>
          <t>🔥 Без сайту</t>
        </is>
      </c>
      <c r="K161" s="39" t="inlineStr">
        <is>
          <t>❌</t>
        </is>
      </c>
      <c r="L161" s="16" t="inlineStr">
        <is>
          <t>❌</t>
        </is>
      </c>
      <c r="M161" s="38" t="inlineStr">
        <is>
          <t>🟢 A</t>
        </is>
      </c>
      <c r="N161" s="10" t="inlineStr"/>
      <c r="O161" s="10" t="inlineStr"/>
      <c r="P161" s="11" t="inlineStr">
        <is>
          <t>—</t>
        </is>
      </c>
      <c r="Q161" s="11" t="inlineStr"/>
      <c r="R161" s="18" t="n"/>
      <c r="S161" s="11" t="inlineStr"/>
      <c r="T161" s="19" t="inlineStr">
        <is>
          <t>🟡 Новий</t>
        </is>
      </c>
      <c r="U161" s="10" t="inlineStr"/>
      <c r="V161" s="18" t="n"/>
      <c r="W161" s="10" t="inlineStr"/>
    </row>
    <row r="162" ht="20" customHeight="1">
      <c r="A162" s="20" t="n">
        <v>160</v>
      </c>
      <c r="B162" s="21" t="inlineStr">
        <is>
          <t>Mollis Coffee</t>
        </is>
      </c>
      <c r="C162" s="21" t="inlineStr">
        <is>
          <t>Львів</t>
        </is>
      </c>
      <c r="D162" s="23" t="inlineStr"/>
      <c r="E162" s="23" t="inlineStr"/>
      <c r="F162" s="23" t="inlineStr"/>
      <c r="G162" s="25" t="inlineStr">
        <is>
          <t>📍</t>
        </is>
      </c>
      <c r="H162" s="23" t="inlineStr"/>
      <c r="I162" s="23" t="inlineStr"/>
      <c r="J162" s="40" t="inlineStr">
        <is>
          <t>🔥 Без сайту</t>
        </is>
      </c>
      <c r="K162" s="37" t="inlineStr">
        <is>
          <t>❌</t>
        </is>
      </c>
      <c r="L162" s="27" t="inlineStr">
        <is>
          <t>❌</t>
        </is>
      </c>
      <c r="M162" s="38" t="inlineStr">
        <is>
          <t>🟢 A</t>
        </is>
      </c>
      <c r="N162" s="21" t="inlineStr"/>
      <c r="O162" s="21" t="inlineStr"/>
      <c r="P162" s="23" t="inlineStr">
        <is>
          <t>—</t>
        </is>
      </c>
      <c r="Q162" s="23" t="inlineStr"/>
      <c r="R162" s="28" t="n"/>
      <c r="S162" s="23" t="inlineStr"/>
      <c r="T162" s="19" t="inlineStr">
        <is>
          <t>🟡 Новий</t>
        </is>
      </c>
      <c r="U162" s="21" t="inlineStr"/>
      <c r="V162" s="28" t="n"/>
      <c r="W162" s="21" t="inlineStr"/>
    </row>
    <row r="163" ht="20" customHeight="1">
      <c r="A163" s="9" t="n">
        <v>161</v>
      </c>
      <c r="B163" s="10" t="inlineStr">
        <is>
          <t>Mollis coffee</t>
        </is>
      </c>
      <c r="C163" s="10" t="inlineStr">
        <is>
          <t>Львів</t>
        </is>
      </c>
      <c r="D163" s="11" t="inlineStr"/>
      <c r="E163" s="11" t="inlineStr"/>
      <c r="F163" s="11" t="inlineStr"/>
      <c r="G163" s="13" t="inlineStr">
        <is>
          <t>📍</t>
        </is>
      </c>
      <c r="H163" s="11" t="inlineStr"/>
      <c r="I163" s="11" t="inlineStr"/>
      <c r="J163" s="40" t="inlineStr">
        <is>
          <t>🔥 Без сайту</t>
        </is>
      </c>
      <c r="K163" s="39" t="inlineStr">
        <is>
          <t>❌</t>
        </is>
      </c>
      <c r="L163" s="16" t="inlineStr">
        <is>
          <t>❌</t>
        </is>
      </c>
      <c r="M163" s="38" t="inlineStr">
        <is>
          <t>🟢 A</t>
        </is>
      </c>
      <c r="N163" s="10" t="inlineStr"/>
      <c r="O163" s="10" t="inlineStr"/>
      <c r="P163" s="11" t="inlineStr">
        <is>
          <t>—</t>
        </is>
      </c>
      <c r="Q163" s="11" t="inlineStr"/>
      <c r="R163" s="18" t="n"/>
      <c r="S163" s="11" t="inlineStr"/>
      <c r="T163" s="19" t="inlineStr">
        <is>
          <t>🟡 Новий</t>
        </is>
      </c>
      <c r="U163" s="10" t="inlineStr"/>
      <c r="V163" s="18" t="n"/>
      <c r="W163" s="10" t="inlineStr"/>
    </row>
    <row r="164" ht="20" customHeight="1">
      <c r="A164" s="20" t="n">
        <v>162</v>
      </c>
      <c r="B164" s="21" t="inlineStr">
        <is>
          <t>Mood and Bakery</t>
        </is>
      </c>
      <c r="C164" s="21" t="inlineStr">
        <is>
          <t>вул. вулиця Авраама Лінкольна, 4б, Львів</t>
        </is>
      </c>
      <c r="D164" s="22" t="inlineStr">
        <is>
          <t>+380 96 996 2081</t>
        </is>
      </c>
      <c r="E164" s="23" t="inlineStr"/>
      <c r="F164" s="23" t="inlineStr"/>
      <c r="G164" s="25" t="inlineStr">
        <is>
          <t>📍</t>
        </is>
      </c>
      <c r="H164" s="23" t="inlineStr"/>
      <c r="I164" s="23" t="inlineStr"/>
      <c r="J164" s="40" t="inlineStr">
        <is>
          <t>🔥 Без сайту</t>
        </is>
      </c>
      <c r="K164" s="37" t="inlineStr">
        <is>
          <t>❌</t>
        </is>
      </c>
      <c r="L164" s="27" t="inlineStr">
        <is>
          <t>❌</t>
        </is>
      </c>
      <c r="M164" s="38" t="inlineStr">
        <is>
          <t>🟢 A</t>
        </is>
      </c>
      <c r="N164" s="21" t="inlineStr"/>
      <c r="O164" s="21" t="inlineStr"/>
      <c r="P164" s="23" t="inlineStr">
        <is>
          <t>—</t>
        </is>
      </c>
      <c r="Q164" s="23" t="inlineStr"/>
      <c r="R164" s="28" t="n"/>
      <c r="S164" s="23" t="inlineStr"/>
      <c r="T164" s="19" t="inlineStr">
        <is>
          <t>🟡 Новий</t>
        </is>
      </c>
      <c r="U164" s="21" t="inlineStr"/>
      <c r="V164" s="28" t="n"/>
      <c r="W164" s="21" t="inlineStr"/>
    </row>
    <row r="165" ht="20" customHeight="1">
      <c r="A165" s="9" t="n">
        <v>163</v>
      </c>
      <c r="B165" s="10" t="inlineStr">
        <is>
          <t>Mriya</t>
        </is>
      </c>
      <c r="C165" s="10" t="inlineStr">
        <is>
          <t>вул. вулиця Богдана Хмельницького, 3, Львів</t>
        </is>
      </c>
      <c r="D165" s="11" t="inlineStr"/>
      <c r="E165" s="11" t="inlineStr"/>
      <c r="F165" s="11" t="inlineStr"/>
      <c r="G165" s="13" t="inlineStr">
        <is>
          <t>📍</t>
        </is>
      </c>
      <c r="H165" s="11" t="inlineStr"/>
      <c r="I165" s="11" t="inlineStr"/>
      <c r="J165" s="40" t="inlineStr">
        <is>
          <t>🔥 Без сайту</t>
        </is>
      </c>
      <c r="K165" s="39" t="inlineStr">
        <is>
          <t>❌</t>
        </is>
      </c>
      <c r="L165" s="16" t="inlineStr">
        <is>
          <t>❌</t>
        </is>
      </c>
      <c r="M165" s="38" t="inlineStr">
        <is>
          <t>🟢 A</t>
        </is>
      </c>
      <c r="N165" s="10" t="inlineStr"/>
      <c r="O165" s="10" t="inlineStr"/>
      <c r="P165" s="11" t="inlineStr">
        <is>
          <t>—</t>
        </is>
      </c>
      <c r="Q165" s="11" t="inlineStr"/>
      <c r="R165" s="18" t="n"/>
      <c r="S165" s="11" t="inlineStr"/>
      <c r="T165" s="19" t="inlineStr">
        <is>
          <t>🟡 Новий</t>
        </is>
      </c>
      <c r="U165" s="10" t="inlineStr"/>
      <c r="V165" s="18" t="n"/>
      <c r="W165" s="10" t="inlineStr"/>
    </row>
    <row r="166" ht="20" customHeight="1">
      <c r="A166" s="20" t="n">
        <v>164</v>
      </c>
      <c r="B166" s="21" t="inlineStr">
        <is>
          <t>MusicLab</t>
        </is>
      </c>
      <c r="C166" s="21" t="inlineStr">
        <is>
          <t>вул. вулиця Братів Рогатинців, 27, Львів</t>
        </is>
      </c>
      <c r="D166" s="22" t="inlineStr">
        <is>
          <t>+380 32 294 8715;+380 67 374 9336</t>
        </is>
      </c>
      <c r="E166" s="23" t="inlineStr"/>
      <c r="F166" s="23" t="inlineStr"/>
      <c r="G166" s="25" t="inlineStr">
        <is>
          <t>📍</t>
        </is>
      </c>
      <c r="H166" s="23" t="inlineStr"/>
      <c r="I166" s="23" t="inlineStr"/>
      <c r="J166" s="40" t="inlineStr">
        <is>
          <t>🔥 Без сайту</t>
        </is>
      </c>
      <c r="K166" s="37" t="inlineStr">
        <is>
          <t>❌</t>
        </is>
      </c>
      <c r="L166" s="27" t="inlineStr">
        <is>
          <t>❌</t>
        </is>
      </c>
      <c r="M166" s="38" t="inlineStr">
        <is>
          <t>🟢 A</t>
        </is>
      </c>
      <c r="N166" s="21" t="inlineStr"/>
      <c r="O166" s="21" t="inlineStr"/>
      <c r="P166" s="23" t="inlineStr">
        <is>
          <t>—</t>
        </is>
      </c>
      <c r="Q166" s="23" t="inlineStr"/>
      <c r="R166" s="28" t="n"/>
      <c r="S166" s="23" t="inlineStr"/>
      <c r="T166" s="19" t="inlineStr">
        <is>
          <t>🟡 Новий</t>
        </is>
      </c>
      <c r="U166" s="21" t="inlineStr"/>
      <c r="V166" s="28" t="n"/>
      <c r="W166" s="21" t="inlineStr"/>
    </row>
    <row r="167" ht="20" customHeight="1">
      <c r="A167" s="9" t="n">
        <v>165</v>
      </c>
      <c r="B167" s="10" t="inlineStr">
        <is>
          <t>Ochi City Cafe</t>
        </is>
      </c>
      <c r="C167" s="10" t="inlineStr">
        <is>
          <t>Львів</t>
        </is>
      </c>
      <c r="D167" s="11" t="inlineStr"/>
      <c r="E167" s="11" t="inlineStr"/>
      <c r="F167" s="11" t="inlineStr"/>
      <c r="G167" s="13" t="inlineStr">
        <is>
          <t>📍</t>
        </is>
      </c>
      <c r="H167" s="11" t="inlineStr"/>
      <c r="I167" s="11" t="inlineStr"/>
      <c r="J167" s="40" t="inlineStr">
        <is>
          <t>🔥 Без сайту</t>
        </is>
      </c>
      <c r="K167" s="39" t="inlineStr">
        <is>
          <t>❌</t>
        </is>
      </c>
      <c r="L167" s="16" t="inlineStr">
        <is>
          <t>❌</t>
        </is>
      </c>
      <c r="M167" s="38" t="inlineStr">
        <is>
          <t>🟢 A</t>
        </is>
      </c>
      <c r="N167" s="10" t="inlineStr"/>
      <c r="O167" s="10" t="inlineStr"/>
      <c r="P167" s="11" t="inlineStr">
        <is>
          <t>—</t>
        </is>
      </c>
      <c r="Q167" s="11" t="inlineStr"/>
      <c r="R167" s="18" t="n"/>
      <c r="S167" s="11" t="inlineStr"/>
      <c r="T167" s="19" t="inlineStr">
        <is>
          <t>🟡 Новий</t>
        </is>
      </c>
      <c r="U167" s="10" t="inlineStr"/>
      <c r="V167" s="18" t="n"/>
      <c r="W167" s="10" t="inlineStr"/>
    </row>
    <row r="168" ht="20" customHeight="1">
      <c r="A168" s="20" t="n">
        <v>166</v>
      </c>
      <c r="B168" s="21" t="inlineStr">
        <is>
          <t>One Place</t>
        </is>
      </c>
      <c r="C168" s="21" t="inlineStr">
        <is>
          <t>Львів</t>
        </is>
      </c>
      <c r="D168" s="23" t="inlineStr"/>
      <c r="E168" s="23" t="inlineStr"/>
      <c r="F168" s="23" t="inlineStr"/>
      <c r="G168" s="25" t="inlineStr">
        <is>
          <t>📍</t>
        </is>
      </c>
      <c r="H168" s="23" t="inlineStr"/>
      <c r="I168" s="23" t="inlineStr"/>
      <c r="J168" s="40" t="inlineStr">
        <is>
          <t>🔥 Без сайту</t>
        </is>
      </c>
      <c r="K168" s="37" t="inlineStr">
        <is>
          <t>❌</t>
        </is>
      </c>
      <c r="L168" s="27" t="inlineStr">
        <is>
          <t>❌</t>
        </is>
      </c>
      <c r="M168" s="38" t="inlineStr">
        <is>
          <t>🟢 A</t>
        </is>
      </c>
      <c r="N168" s="21" t="inlineStr"/>
      <c r="O168" s="21" t="inlineStr"/>
      <c r="P168" s="23" t="inlineStr">
        <is>
          <t>—</t>
        </is>
      </c>
      <c r="Q168" s="23" t="inlineStr"/>
      <c r="R168" s="28" t="n"/>
      <c r="S168" s="23" t="inlineStr"/>
      <c r="T168" s="19" t="inlineStr">
        <is>
          <t>🟡 Новий</t>
        </is>
      </c>
      <c r="U168" s="21" t="inlineStr"/>
      <c r="V168" s="28" t="n"/>
      <c r="W168" s="21" t="inlineStr"/>
    </row>
    <row r="169" ht="20" customHeight="1">
      <c r="A169" s="9" t="n">
        <v>167</v>
      </c>
      <c r="B169" s="10" t="inlineStr">
        <is>
          <t>OneShot</t>
        </is>
      </c>
      <c r="C169" s="10" t="inlineStr">
        <is>
          <t>Львів</t>
        </is>
      </c>
      <c r="D169" s="33" t="inlineStr">
        <is>
          <t>+380688375751</t>
        </is>
      </c>
      <c r="E169" s="11" t="inlineStr"/>
      <c r="F169" s="11" t="inlineStr"/>
      <c r="G169" s="13" t="inlineStr">
        <is>
          <t>📍</t>
        </is>
      </c>
      <c r="H169" s="11" t="inlineStr"/>
      <c r="I169" s="11" t="inlineStr"/>
      <c r="J169" s="40" t="inlineStr">
        <is>
          <t>🔥 Без сайту</t>
        </is>
      </c>
      <c r="K169" s="39" t="inlineStr">
        <is>
          <t>❌</t>
        </is>
      </c>
      <c r="L169" s="16" t="inlineStr">
        <is>
          <t>❌</t>
        </is>
      </c>
      <c r="M169" s="38" t="inlineStr">
        <is>
          <t>🟢 A</t>
        </is>
      </c>
      <c r="N169" s="10" t="inlineStr"/>
      <c r="O169" s="10" t="inlineStr"/>
      <c r="P169" s="11" t="inlineStr">
        <is>
          <t>—</t>
        </is>
      </c>
      <c r="Q169" s="11" t="inlineStr"/>
      <c r="R169" s="18" t="n"/>
      <c r="S169" s="11" t="inlineStr"/>
      <c r="T169" s="19" t="inlineStr">
        <is>
          <t>🟡 Новий</t>
        </is>
      </c>
      <c r="U169" s="10" t="inlineStr"/>
      <c r="V169" s="18" t="n"/>
      <c r="W169" s="10" t="inlineStr"/>
    </row>
    <row r="170" ht="20" customHeight="1">
      <c r="A170" s="20" t="n">
        <v>168</v>
      </c>
      <c r="B170" s="21" t="inlineStr">
        <is>
          <t>PIZZ 'n' ROLL</t>
        </is>
      </c>
      <c r="C170" s="21" t="inlineStr">
        <is>
          <t>Львів</t>
        </is>
      </c>
      <c r="D170" s="23" t="inlineStr"/>
      <c r="E170" s="23" t="inlineStr"/>
      <c r="F170" s="23" t="inlineStr"/>
      <c r="G170" s="25" t="inlineStr">
        <is>
          <t>📍</t>
        </is>
      </c>
      <c r="H170" s="23" t="inlineStr"/>
      <c r="I170" s="23" t="inlineStr"/>
      <c r="J170" s="40" t="inlineStr">
        <is>
          <t>🔥 Без сайту</t>
        </is>
      </c>
      <c r="K170" s="37" t="inlineStr">
        <is>
          <t>❌</t>
        </is>
      </c>
      <c r="L170" s="27" t="inlineStr">
        <is>
          <t>❌</t>
        </is>
      </c>
      <c r="M170" s="38" t="inlineStr">
        <is>
          <t>🟢 A</t>
        </is>
      </c>
      <c r="N170" s="21" t="inlineStr"/>
      <c r="O170" s="21" t="inlineStr"/>
      <c r="P170" s="23" t="inlineStr">
        <is>
          <t>—</t>
        </is>
      </c>
      <c r="Q170" s="23" t="inlineStr"/>
      <c r="R170" s="28" t="n"/>
      <c r="S170" s="23" t="inlineStr"/>
      <c r="T170" s="19" t="inlineStr">
        <is>
          <t>🟡 Новий</t>
        </is>
      </c>
      <c r="U170" s="21" t="inlineStr"/>
      <c r="V170" s="28" t="n"/>
      <c r="W170" s="21" t="inlineStr"/>
    </row>
    <row r="171" ht="20" customHeight="1">
      <c r="A171" s="9" t="n">
        <v>169</v>
      </c>
      <c r="B171" s="10" t="inlineStr">
        <is>
          <t>PamPuh</t>
        </is>
      </c>
      <c r="C171" s="10" t="inlineStr">
        <is>
          <t>Львів</t>
        </is>
      </c>
      <c r="D171" s="11" t="inlineStr"/>
      <c r="E171" s="11" t="inlineStr"/>
      <c r="F171" s="11" t="inlineStr"/>
      <c r="G171" s="13" t="inlineStr">
        <is>
          <t>📍</t>
        </is>
      </c>
      <c r="H171" s="11" t="inlineStr"/>
      <c r="I171" s="11" t="inlineStr"/>
      <c r="J171" s="40" t="inlineStr">
        <is>
          <t>🔥 Без сайту</t>
        </is>
      </c>
      <c r="K171" s="39" t="inlineStr">
        <is>
          <t>❌</t>
        </is>
      </c>
      <c r="L171" s="16" t="inlineStr">
        <is>
          <t>❌</t>
        </is>
      </c>
      <c r="M171" s="38" t="inlineStr">
        <is>
          <t>🟢 A</t>
        </is>
      </c>
      <c r="N171" s="10" t="inlineStr"/>
      <c r="O171" s="10" t="inlineStr"/>
      <c r="P171" s="11" t="inlineStr">
        <is>
          <t>—</t>
        </is>
      </c>
      <c r="Q171" s="11" t="inlineStr"/>
      <c r="R171" s="18" t="n"/>
      <c r="S171" s="11" t="inlineStr"/>
      <c r="T171" s="19" t="inlineStr">
        <is>
          <t>🟡 Новий</t>
        </is>
      </c>
      <c r="U171" s="10" t="inlineStr"/>
      <c r="V171" s="18" t="n"/>
      <c r="W171" s="10" t="inlineStr"/>
    </row>
    <row r="172" ht="20" customHeight="1">
      <c r="A172" s="20" t="n">
        <v>170</v>
      </c>
      <c r="B172" s="21" t="inlineStr">
        <is>
          <t>Papi</t>
        </is>
      </c>
      <c r="C172" s="21" t="inlineStr">
        <is>
          <t>Львів</t>
        </is>
      </c>
      <c r="D172" s="23" t="inlineStr"/>
      <c r="E172" s="23" t="inlineStr"/>
      <c r="F172" s="23" t="inlineStr"/>
      <c r="G172" s="25" t="inlineStr">
        <is>
          <t>📍</t>
        </is>
      </c>
      <c r="H172" s="23" t="inlineStr"/>
      <c r="I172" s="23" t="inlineStr"/>
      <c r="J172" s="40" t="inlineStr">
        <is>
          <t>🔥 Без сайту</t>
        </is>
      </c>
      <c r="K172" s="37" t="inlineStr">
        <is>
          <t>❌</t>
        </is>
      </c>
      <c r="L172" s="27" t="inlineStr">
        <is>
          <t>❌</t>
        </is>
      </c>
      <c r="M172" s="38" t="inlineStr">
        <is>
          <t>🟢 A</t>
        </is>
      </c>
      <c r="N172" s="21" t="inlineStr"/>
      <c r="O172" s="21" t="inlineStr"/>
      <c r="P172" s="23" t="inlineStr">
        <is>
          <t>—</t>
        </is>
      </c>
      <c r="Q172" s="23" t="inlineStr"/>
      <c r="R172" s="28" t="n"/>
      <c r="S172" s="23" t="inlineStr"/>
      <c r="T172" s="19" t="inlineStr">
        <is>
          <t>🟡 Новий</t>
        </is>
      </c>
      <c r="U172" s="21" t="inlineStr"/>
      <c r="V172" s="28" t="n"/>
      <c r="W172" s="21" t="inlineStr"/>
    </row>
    <row r="173" ht="20" customHeight="1">
      <c r="A173" s="9" t="n">
        <v>171</v>
      </c>
      <c r="B173" s="10" t="inlineStr">
        <is>
          <t>Park time</t>
        </is>
      </c>
      <c r="C173" s="10" t="inlineStr">
        <is>
          <t>Львів</t>
        </is>
      </c>
      <c r="D173" s="11" t="inlineStr"/>
      <c r="E173" s="11" t="inlineStr"/>
      <c r="F173" s="11" t="inlineStr"/>
      <c r="G173" s="13" t="inlineStr">
        <is>
          <t>📍</t>
        </is>
      </c>
      <c r="H173" s="11" t="inlineStr"/>
      <c r="I173" s="11" t="inlineStr"/>
      <c r="J173" s="40" t="inlineStr">
        <is>
          <t>🔥 Без сайту</t>
        </is>
      </c>
      <c r="K173" s="39" t="inlineStr">
        <is>
          <t>❌</t>
        </is>
      </c>
      <c r="L173" s="16" t="inlineStr">
        <is>
          <t>❌</t>
        </is>
      </c>
      <c r="M173" s="38" t="inlineStr">
        <is>
          <t>🟢 A</t>
        </is>
      </c>
      <c r="N173" s="10" t="inlineStr"/>
      <c r="O173" s="10" t="inlineStr"/>
      <c r="P173" s="11" t="inlineStr">
        <is>
          <t>—</t>
        </is>
      </c>
      <c r="Q173" s="11" t="inlineStr"/>
      <c r="R173" s="18" t="n"/>
      <c r="S173" s="11" t="inlineStr"/>
      <c r="T173" s="19" t="inlineStr">
        <is>
          <t>🟡 Новий</t>
        </is>
      </c>
      <c r="U173" s="10" t="inlineStr"/>
      <c r="V173" s="18" t="n"/>
      <c r="W173" s="10" t="inlineStr"/>
    </row>
    <row r="174" ht="20" customHeight="1">
      <c r="A174" s="20" t="n">
        <v>172</v>
      </c>
      <c r="B174" s="21" t="inlineStr">
        <is>
          <t>Pasta Bar</t>
        </is>
      </c>
      <c r="C174" s="21" t="inlineStr">
        <is>
          <t>Львів</t>
        </is>
      </c>
      <c r="D174" s="23" t="inlineStr"/>
      <c r="E174" s="23" t="inlineStr"/>
      <c r="F174" s="23" t="inlineStr"/>
      <c r="G174" s="25" t="inlineStr">
        <is>
          <t>📍</t>
        </is>
      </c>
      <c r="H174" s="23" t="inlineStr"/>
      <c r="I174" s="23" t="inlineStr"/>
      <c r="J174" s="40" t="inlineStr">
        <is>
          <t>🔥 Без сайту</t>
        </is>
      </c>
      <c r="K174" s="37" t="inlineStr">
        <is>
          <t>❌</t>
        </is>
      </c>
      <c r="L174" s="27" t="inlineStr">
        <is>
          <t>❌</t>
        </is>
      </c>
      <c r="M174" s="38" t="inlineStr">
        <is>
          <t>🟢 A</t>
        </is>
      </c>
      <c r="N174" s="21" t="inlineStr"/>
      <c r="O174" s="21" t="inlineStr"/>
      <c r="P174" s="23" t="inlineStr">
        <is>
          <t>—</t>
        </is>
      </c>
      <c r="Q174" s="23" t="inlineStr"/>
      <c r="R174" s="28" t="n"/>
      <c r="S174" s="23" t="inlineStr"/>
      <c r="T174" s="19" t="inlineStr">
        <is>
          <t>🟡 Новий</t>
        </is>
      </c>
      <c r="U174" s="21" t="inlineStr"/>
      <c r="V174" s="28" t="n"/>
      <c r="W174" s="21" t="inlineStr"/>
    </row>
    <row r="175" ht="20" customHeight="1">
      <c r="A175" s="9" t="n">
        <v>173</v>
      </c>
      <c r="B175" s="10" t="inlineStr">
        <is>
          <t>Pecan</t>
        </is>
      </c>
      <c r="C175" s="10" t="inlineStr">
        <is>
          <t>Львів</t>
        </is>
      </c>
      <c r="D175" s="11" t="inlineStr"/>
      <c r="E175" s="11" t="inlineStr"/>
      <c r="F175" s="11" t="inlineStr"/>
      <c r="G175" s="13" t="inlineStr">
        <is>
          <t>📍</t>
        </is>
      </c>
      <c r="H175" s="11" t="inlineStr"/>
      <c r="I175" s="11" t="inlineStr"/>
      <c r="J175" s="40" t="inlineStr">
        <is>
          <t>🔥 Без сайту</t>
        </is>
      </c>
      <c r="K175" s="39" t="inlineStr">
        <is>
          <t>❌</t>
        </is>
      </c>
      <c r="L175" s="16" t="inlineStr">
        <is>
          <t>❌</t>
        </is>
      </c>
      <c r="M175" s="38" t="inlineStr">
        <is>
          <t>🟢 A</t>
        </is>
      </c>
      <c r="N175" s="10" t="inlineStr"/>
      <c r="O175" s="10" t="inlineStr"/>
      <c r="P175" s="11" t="inlineStr">
        <is>
          <t>—</t>
        </is>
      </c>
      <c r="Q175" s="11" t="inlineStr"/>
      <c r="R175" s="18" t="n"/>
      <c r="S175" s="11" t="inlineStr"/>
      <c r="T175" s="19" t="inlineStr">
        <is>
          <t>🟡 Новий</t>
        </is>
      </c>
      <c r="U175" s="10" t="inlineStr"/>
      <c r="V175" s="18" t="n"/>
      <c r="W175" s="10" t="inlineStr"/>
    </row>
    <row r="176" ht="20" customHeight="1">
      <c r="A176" s="20" t="n">
        <v>174</v>
      </c>
      <c r="B176" s="21" t="inlineStr">
        <is>
          <t>Pid zolotoiu zirkoiu</t>
        </is>
      </c>
      <c r="C176" s="21" t="inlineStr">
        <is>
          <t>Львів</t>
        </is>
      </c>
      <c r="D176" s="23" t="inlineStr"/>
      <c r="E176" s="23" t="inlineStr"/>
      <c r="F176" s="23" t="inlineStr"/>
      <c r="G176" s="25" t="inlineStr">
        <is>
          <t>📍</t>
        </is>
      </c>
      <c r="H176" s="23" t="inlineStr"/>
      <c r="I176" s="23" t="inlineStr"/>
      <c r="J176" s="40" t="inlineStr">
        <is>
          <t>🔥 Без сайту</t>
        </is>
      </c>
      <c r="K176" s="37" t="inlineStr">
        <is>
          <t>❌</t>
        </is>
      </c>
      <c r="L176" s="27" t="inlineStr">
        <is>
          <t>❌</t>
        </is>
      </c>
      <c r="M176" s="38" t="inlineStr">
        <is>
          <t>🟢 A</t>
        </is>
      </c>
      <c r="N176" s="21" t="inlineStr"/>
      <c r="O176" s="21" t="inlineStr"/>
      <c r="P176" s="23" t="inlineStr">
        <is>
          <t>—</t>
        </is>
      </c>
      <c r="Q176" s="23" t="inlineStr"/>
      <c r="R176" s="28" t="n"/>
      <c r="S176" s="23" t="inlineStr"/>
      <c r="T176" s="19" t="inlineStr">
        <is>
          <t>🟡 Новий</t>
        </is>
      </c>
      <c r="U176" s="21" t="inlineStr"/>
      <c r="V176" s="28" t="n"/>
      <c r="W176" s="21" t="inlineStr"/>
    </row>
    <row r="177" ht="20" customHeight="1">
      <c r="A177" s="9" t="n">
        <v>175</v>
      </c>
      <c r="B177" s="10" t="inlineStr">
        <is>
          <t>Pizza</t>
        </is>
      </c>
      <c r="C177" s="10" t="inlineStr">
        <is>
          <t>Львів</t>
        </is>
      </c>
      <c r="D177" s="11" t="inlineStr"/>
      <c r="E177" s="11" t="inlineStr"/>
      <c r="F177" s="11" t="inlineStr"/>
      <c r="G177" s="13" t="inlineStr">
        <is>
          <t>📍</t>
        </is>
      </c>
      <c r="H177" s="11" t="inlineStr"/>
      <c r="I177" s="11" t="inlineStr"/>
      <c r="J177" s="40" t="inlineStr">
        <is>
          <t>🔥 Без сайту</t>
        </is>
      </c>
      <c r="K177" s="39" t="inlineStr">
        <is>
          <t>❌</t>
        </is>
      </c>
      <c r="L177" s="16" t="inlineStr">
        <is>
          <t>❌</t>
        </is>
      </c>
      <c r="M177" s="38" t="inlineStr">
        <is>
          <t>🟢 A</t>
        </is>
      </c>
      <c r="N177" s="10" t="inlineStr"/>
      <c r="O177" s="10" t="inlineStr"/>
      <c r="P177" s="11" t="inlineStr">
        <is>
          <t>—</t>
        </is>
      </c>
      <c r="Q177" s="11" t="inlineStr"/>
      <c r="R177" s="18" t="n"/>
      <c r="S177" s="11" t="inlineStr"/>
      <c r="T177" s="19" t="inlineStr">
        <is>
          <t>🟡 Новий</t>
        </is>
      </c>
      <c r="U177" s="10" t="inlineStr"/>
      <c r="V177" s="18" t="n"/>
      <c r="W177" s="10" t="inlineStr"/>
    </row>
    <row r="178" ht="20" customHeight="1">
      <c r="A178" s="20" t="n">
        <v>176</v>
      </c>
      <c r="B178" s="21" t="inlineStr">
        <is>
          <t>Rocket Espresso</t>
        </is>
      </c>
      <c r="C178" s="21" t="inlineStr">
        <is>
          <t>вул. вулиця Січових Стрільців, Львів</t>
        </is>
      </c>
      <c r="D178" s="23" t="inlineStr"/>
      <c r="E178" s="23" t="inlineStr"/>
      <c r="F178" s="23" t="inlineStr"/>
      <c r="G178" s="25" t="inlineStr">
        <is>
          <t>📍</t>
        </is>
      </c>
      <c r="H178" s="23" t="inlineStr"/>
      <c r="I178" s="23" t="inlineStr"/>
      <c r="J178" s="40" t="inlineStr">
        <is>
          <t>🔥 Без сайту</t>
        </is>
      </c>
      <c r="K178" s="37" t="inlineStr">
        <is>
          <t>❌</t>
        </is>
      </c>
      <c r="L178" s="27" t="inlineStr">
        <is>
          <t>❌</t>
        </is>
      </c>
      <c r="M178" s="38" t="inlineStr">
        <is>
          <t>🟢 A</t>
        </is>
      </c>
      <c r="N178" s="21" t="inlineStr"/>
      <c r="O178" s="21" t="inlineStr"/>
      <c r="P178" s="23" t="inlineStr">
        <is>
          <t>—</t>
        </is>
      </c>
      <c r="Q178" s="23" t="inlineStr"/>
      <c r="R178" s="28" t="n"/>
      <c r="S178" s="23" t="inlineStr"/>
      <c r="T178" s="19" t="inlineStr">
        <is>
          <t>🟡 Новий</t>
        </is>
      </c>
      <c r="U178" s="21" t="inlineStr"/>
      <c r="V178" s="28" t="n"/>
      <c r="W178" s="21" t="inlineStr"/>
    </row>
    <row r="179" ht="20" customHeight="1">
      <c r="A179" s="9" t="n">
        <v>177</v>
      </c>
      <c r="B179" s="10" t="inlineStr">
        <is>
          <t>Rocket espresso</t>
        </is>
      </c>
      <c r="C179" s="10" t="inlineStr">
        <is>
          <t>Львів</t>
        </is>
      </c>
      <c r="D179" s="11" t="inlineStr"/>
      <c r="E179" s="11" t="inlineStr"/>
      <c r="F179" s="11" t="inlineStr"/>
      <c r="G179" s="13" t="inlineStr">
        <is>
          <t>📍</t>
        </is>
      </c>
      <c r="H179" s="11" t="inlineStr"/>
      <c r="I179" s="11" t="inlineStr"/>
      <c r="J179" s="40" t="inlineStr">
        <is>
          <t>🔥 Без сайту</t>
        </is>
      </c>
      <c r="K179" s="39" t="inlineStr">
        <is>
          <t>❌</t>
        </is>
      </c>
      <c r="L179" s="16" t="inlineStr">
        <is>
          <t>❌</t>
        </is>
      </c>
      <c r="M179" s="38" t="inlineStr">
        <is>
          <t>🟢 A</t>
        </is>
      </c>
      <c r="N179" s="10" t="inlineStr"/>
      <c r="O179" s="10" t="inlineStr"/>
      <c r="P179" s="11" t="inlineStr">
        <is>
          <t>—</t>
        </is>
      </c>
      <c r="Q179" s="11" t="inlineStr"/>
      <c r="R179" s="18" t="n"/>
      <c r="S179" s="11" t="inlineStr"/>
      <c r="T179" s="19" t="inlineStr">
        <is>
          <t>🟡 Новий</t>
        </is>
      </c>
      <c r="U179" s="10" t="inlineStr"/>
      <c r="V179" s="18" t="n"/>
      <c r="W179" s="10" t="inlineStr"/>
    </row>
    <row r="180" ht="20" customHeight="1">
      <c r="A180" s="20" t="n">
        <v>178</v>
      </c>
      <c r="B180" s="21" t="inlineStr">
        <is>
          <t>Rondo</t>
        </is>
      </c>
      <c r="C180" s="21" t="inlineStr">
        <is>
          <t>вул. вулиця Академіка Олександра Богомольця, 6/1, Львів</t>
        </is>
      </c>
      <c r="D180" s="23" t="inlineStr"/>
      <c r="E180" s="23" t="inlineStr"/>
      <c r="F180" s="23" t="inlineStr"/>
      <c r="G180" s="25" t="inlineStr">
        <is>
          <t>📍</t>
        </is>
      </c>
      <c r="H180" s="23" t="inlineStr"/>
      <c r="I180" s="23" t="inlineStr"/>
      <c r="J180" s="40" t="inlineStr">
        <is>
          <t>🔥 Без сайту</t>
        </is>
      </c>
      <c r="K180" s="37" t="inlineStr">
        <is>
          <t>❌</t>
        </is>
      </c>
      <c r="L180" s="27" t="inlineStr">
        <is>
          <t>❌</t>
        </is>
      </c>
      <c r="M180" s="38" t="inlineStr">
        <is>
          <t>🟢 A</t>
        </is>
      </c>
      <c r="N180" s="21" t="inlineStr"/>
      <c r="O180" s="21" t="inlineStr"/>
      <c r="P180" s="23" t="inlineStr">
        <is>
          <t>—</t>
        </is>
      </c>
      <c r="Q180" s="23" t="inlineStr"/>
      <c r="R180" s="28" t="n"/>
      <c r="S180" s="23" t="inlineStr"/>
      <c r="T180" s="19" t="inlineStr">
        <is>
          <t>🟡 Новий</t>
        </is>
      </c>
      <c r="U180" s="21" t="inlineStr"/>
      <c r="V180" s="28" t="n"/>
      <c r="W180" s="21" t="inlineStr"/>
    </row>
    <row r="181" ht="20" customHeight="1">
      <c r="A181" s="9" t="n">
        <v>179</v>
      </c>
      <c r="B181" s="10" t="inlineStr">
        <is>
          <t>Route 77</t>
        </is>
      </c>
      <c r="C181" s="10" t="inlineStr">
        <is>
          <t>Львів</t>
        </is>
      </c>
      <c r="D181" s="11" t="inlineStr"/>
      <c r="E181" s="11" t="inlineStr"/>
      <c r="F181" s="11" t="inlineStr"/>
      <c r="G181" s="13" t="inlineStr">
        <is>
          <t>📍</t>
        </is>
      </c>
      <c r="H181" s="11" t="inlineStr"/>
      <c r="I181" s="11" t="inlineStr"/>
      <c r="J181" s="40" t="inlineStr">
        <is>
          <t>🔥 Без сайту</t>
        </is>
      </c>
      <c r="K181" s="39" t="inlineStr">
        <is>
          <t>❌</t>
        </is>
      </c>
      <c r="L181" s="16" t="inlineStr">
        <is>
          <t>❌</t>
        </is>
      </c>
      <c r="M181" s="38" t="inlineStr">
        <is>
          <t>🟢 A</t>
        </is>
      </c>
      <c r="N181" s="10" t="inlineStr"/>
      <c r="O181" s="10" t="inlineStr"/>
      <c r="P181" s="11" t="inlineStr">
        <is>
          <t>—</t>
        </is>
      </c>
      <c r="Q181" s="11" t="inlineStr"/>
      <c r="R181" s="18" t="n"/>
      <c r="S181" s="11" t="inlineStr"/>
      <c r="T181" s="19" t="inlineStr">
        <is>
          <t>🟡 Новий</t>
        </is>
      </c>
      <c r="U181" s="10" t="inlineStr"/>
      <c r="V181" s="18" t="n"/>
      <c r="W181" s="10" t="inlineStr"/>
    </row>
    <row r="182" ht="20" customHeight="1">
      <c r="A182" s="20" t="n">
        <v>180</v>
      </c>
      <c r="B182" s="21" t="inlineStr">
        <is>
          <t>Royal Kebab</t>
        </is>
      </c>
      <c r="C182" s="21" t="inlineStr">
        <is>
          <t>Львів</t>
        </is>
      </c>
      <c r="D182" s="23" t="inlineStr"/>
      <c r="E182" s="23" t="inlineStr"/>
      <c r="F182" s="23" t="inlineStr"/>
      <c r="G182" s="25" t="inlineStr">
        <is>
          <t>📍</t>
        </is>
      </c>
      <c r="H182" s="23" t="inlineStr"/>
      <c r="I182" s="23" t="inlineStr"/>
      <c r="J182" s="40" t="inlineStr">
        <is>
          <t>🔥 Без сайту</t>
        </is>
      </c>
      <c r="K182" s="37" t="inlineStr">
        <is>
          <t>❌</t>
        </is>
      </c>
      <c r="L182" s="27" t="inlineStr">
        <is>
          <t>❌</t>
        </is>
      </c>
      <c r="M182" s="38" t="inlineStr">
        <is>
          <t>🟢 A</t>
        </is>
      </c>
      <c r="N182" s="21" t="inlineStr"/>
      <c r="O182" s="21" t="inlineStr"/>
      <c r="P182" s="23" t="inlineStr">
        <is>
          <t>—</t>
        </is>
      </c>
      <c r="Q182" s="23" t="inlineStr"/>
      <c r="R182" s="28" t="n"/>
      <c r="S182" s="23" t="inlineStr"/>
      <c r="T182" s="19" t="inlineStr">
        <is>
          <t>🟡 Новий</t>
        </is>
      </c>
      <c r="U182" s="21" t="inlineStr"/>
      <c r="V182" s="28" t="n"/>
      <c r="W182" s="21" t="inlineStr"/>
    </row>
    <row r="183" ht="20" customHeight="1">
      <c r="A183" s="9" t="n">
        <v>181</v>
      </c>
      <c r="B183" s="10" t="inlineStr">
        <is>
          <t>STRUM coffee</t>
        </is>
      </c>
      <c r="C183" s="10" t="inlineStr">
        <is>
          <t>Львів</t>
        </is>
      </c>
      <c r="D183" s="11" t="inlineStr"/>
      <c r="E183" s="11" t="inlineStr"/>
      <c r="F183" s="11" t="inlineStr"/>
      <c r="G183" s="13" t="inlineStr">
        <is>
          <t>📍</t>
        </is>
      </c>
      <c r="H183" s="11" t="inlineStr"/>
      <c r="I183" s="11" t="inlineStr"/>
      <c r="J183" s="40" t="inlineStr">
        <is>
          <t>🔥 Без сайту</t>
        </is>
      </c>
      <c r="K183" s="39" t="inlineStr">
        <is>
          <t>❌</t>
        </is>
      </c>
      <c r="L183" s="16" t="inlineStr">
        <is>
          <t>❌</t>
        </is>
      </c>
      <c r="M183" s="38" t="inlineStr">
        <is>
          <t>🟢 A</t>
        </is>
      </c>
      <c r="N183" s="10" t="inlineStr"/>
      <c r="O183" s="10" t="inlineStr"/>
      <c r="P183" s="11" t="inlineStr">
        <is>
          <t>—</t>
        </is>
      </c>
      <c r="Q183" s="11" t="inlineStr"/>
      <c r="R183" s="18" t="n"/>
      <c r="S183" s="11" t="inlineStr"/>
      <c r="T183" s="19" t="inlineStr">
        <is>
          <t>🟡 Новий</t>
        </is>
      </c>
      <c r="U183" s="10" t="inlineStr"/>
      <c r="V183" s="18" t="n"/>
      <c r="W183" s="10" t="inlineStr"/>
    </row>
    <row r="184" ht="20" customHeight="1">
      <c r="A184" s="20" t="n">
        <v>182</v>
      </c>
      <c r="B184" s="21" t="inlineStr">
        <is>
          <t>San Sebastiàn Cafe</t>
        </is>
      </c>
      <c r="C184" s="21" t="inlineStr">
        <is>
          <t>Львів</t>
        </is>
      </c>
      <c r="D184" s="23" t="inlineStr"/>
      <c r="E184" s="23" t="inlineStr"/>
      <c r="F184" s="23" t="inlineStr"/>
      <c r="G184" s="25" t="inlineStr">
        <is>
          <t>📍</t>
        </is>
      </c>
      <c r="H184" s="23" t="inlineStr"/>
      <c r="I184" s="23" t="inlineStr"/>
      <c r="J184" s="40" t="inlineStr">
        <is>
          <t>🔥 Без сайту</t>
        </is>
      </c>
      <c r="K184" s="37" t="inlineStr">
        <is>
          <t>❌</t>
        </is>
      </c>
      <c r="L184" s="27" t="inlineStr">
        <is>
          <t>❌</t>
        </is>
      </c>
      <c r="M184" s="38" t="inlineStr">
        <is>
          <t>🟢 A</t>
        </is>
      </c>
      <c r="N184" s="21" t="inlineStr"/>
      <c r="O184" s="21" t="inlineStr"/>
      <c r="P184" s="23" t="inlineStr">
        <is>
          <t>—</t>
        </is>
      </c>
      <c r="Q184" s="23" t="inlineStr"/>
      <c r="R184" s="28" t="n"/>
      <c r="S184" s="23" t="inlineStr"/>
      <c r="T184" s="19" t="inlineStr">
        <is>
          <t>🟡 Новий</t>
        </is>
      </c>
      <c r="U184" s="21" t="inlineStr"/>
      <c r="V184" s="28" t="n"/>
      <c r="W184" s="21" t="inlineStr"/>
    </row>
    <row r="185" ht="20" customHeight="1">
      <c r="A185" s="9" t="n">
        <v>183</v>
      </c>
      <c r="B185" s="10" t="inlineStr">
        <is>
          <t>Scramble</t>
        </is>
      </c>
      <c r="C185" s="10" t="inlineStr">
        <is>
          <t>Львів</t>
        </is>
      </c>
      <c r="D185" s="11" t="inlineStr"/>
      <c r="E185" s="11" t="inlineStr"/>
      <c r="F185" s="11" t="inlineStr"/>
      <c r="G185" s="13" t="inlineStr">
        <is>
          <t>📍</t>
        </is>
      </c>
      <c r="H185" s="11" t="inlineStr"/>
      <c r="I185" s="11" t="inlineStr"/>
      <c r="J185" s="40" t="inlineStr">
        <is>
          <t>🔥 Без сайту</t>
        </is>
      </c>
      <c r="K185" s="39" t="inlineStr">
        <is>
          <t>❌</t>
        </is>
      </c>
      <c r="L185" s="16" t="inlineStr">
        <is>
          <t>❌</t>
        </is>
      </c>
      <c r="M185" s="38" t="inlineStr">
        <is>
          <t>🟢 A</t>
        </is>
      </c>
      <c r="N185" s="10" t="inlineStr"/>
      <c r="O185" s="10" t="inlineStr"/>
      <c r="P185" s="11" t="inlineStr">
        <is>
          <t>—</t>
        </is>
      </c>
      <c r="Q185" s="11" t="inlineStr"/>
      <c r="R185" s="18" t="n"/>
      <c r="S185" s="11" t="inlineStr"/>
      <c r="T185" s="19" t="inlineStr">
        <is>
          <t>🟡 Новий</t>
        </is>
      </c>
      <c r="U185" s="10" t="inlineStr"/>
      <c r="V185" s="18" t="n"/>
      <c r="W185" s="10" t="inlineStr"/>
    </row>
    <row r="186" ht="20" customHeight="1">
      <c r="A186" s="20" t="n">
        <v>184</v>
      </c>
      <c r="B186" s="21" t="inlineStr">
        <is>
          <t>Sergio</t>
        </is>
      </c>
      <c r="C186" s="21" t="inlineStr">
        <is>
          <t>Львів</t>
        </is>
      </c>
      <c r="D186" s="23" t="inlineStr"/>
      <c r="E186" s="23" t="inlineStr"/>
      <c r="F186" s="23" t="inlineStr"/>
      <c r="G186" s="25" t="inlineStr">
        <is>
          <t>📍</t>
        </is>
      </c>
      <c r="H186" s="23" t="inlineStr"/>
      <c r="I186" s="23" t="inlineStr"/>
      <c r="J186" s="40" t="inlineStr">
        <is>
          <t>🔥 Без сайту</t>
        </is>
      </c>
      <c r="K186" s="37" t="inlineStr">
        <is>
          <t>❌</t>
        </is>
      </c>
      <c r="L186" s="27" t="inlineStr">
        <is>
          <t>❌</t>
        </is>
      </c>
      <c r="M186" s="38" t="inlineStr">
        <is>
          <t>🟢 A</t>
        </is>
      </c>
      <c r="N186" s="21" t="inlineStr"/>
      <c r="O186" s="21" t="inlineStr"/>
      <c r="P186" s="23" t="inlineStr">
        <is>
          <t>—</t>
        </is>
      </c>
      <c r="Q186" s="23" t="inlineStr"/>
      <c r="R186" s="28" t="n"/>
      <c r="S186" s="23" t="inlineStr"/>
      <c r="T186" s="19" t="inlineStr">
        <is>
          <t>🟡 Новий</t>
        </is>
      </c>
      <c r="U186" s="21" t="inlineStr"/>
      <c r="V186" s="28" t="n"/>
      <c r="W186" s="21" t="inlineStr"/>
    </row>
    <row r="187" ht="20" customHeight="1">
      <c r="A187" s="9" t="n">
        <v>185</v>
      </c>
      <c r="B187" s="10" t="inlineStr">
        <is>
          <t>Settle coffee</t>
        </is>
      </c>
      <c r="C187" s="10" t="inlineStr">
        <is>
          <t>Львів</t>
        </is>
      </c>
      <c r="D187" s="11" t="inlineStr"/>
      <c r="E187" s="11" t="inlineStr"/>
      <c r="F187" s="11" t="inlineStr"/>
      <c r="G187" s="13" t="inlineStr">
        <is>
          <t>📍</t>
        </is>
      </c>
      <c r="H187" s="11" t="inlineStr"/>
      <c r="I187" s="11" t="inlineStr"/>
      <c r="J187" s="40" t="inlineStr">
        <is>
          <t>🔥 Без сайту</t>
        </is>
      </c>
      <c r="K187" s="39" t="inlineStr">
        <is>
          <t>❌</t>
        </is>
      </c>
      <c r="L187" s="16" t="inlineStr">
        <is>
          <t>❌</t>
        </is>
      </c>
      <c r="M187" s="38" t="inlineStr">
        <is>
          <t>🟢 A</t>
        </is>
      </c>
      <c r="N187" s="10" t="inlineStr"/>
      <c r="O187" s="10" t="inlineStr"/>
      <c r="P187" s="11" t="inlineStr">
        <is>
          <t>—</t>
        </is>
      </c>
      <c r="Q187" s="11" t="inlineStr"/>
      <c r="R187" s="18" t="n"/>
      <c r="S187" s="11" t="inlineStr"/>
      <c r="T187" s="19" t="inlineStr">
        <is>
          <t>🟡 Новий</t>
        </is>
      </c>
      <c r="U187" s="10" t="inlineStr"/>
      <c r="V187" s="18" t="n"/>
      <c r="W187" s="10" t="inlineStr"/>
    </row>
    <row r="188" ht="20" customHeight="1">
      <c r="A188" s="20" t="n">
        <v>186</v>
      </c>
      <c r="B188" s="21" t="inlineStr">
        <is>
          <t>Seven Heaven</t>
        </is>
      </c>
      <c r="C188" s="21" t="inlineStr">
        <is>
          <t>Львів</t>
        </is>
      </c>
      <c r="D188" s="23" t="inlineStr"/>
      <c r="E188" s="23" t="inlineStr"/>
      <c r="F188" s="23" t="inlineStr"/>
      <c r="G188" s="25" t="inlineStr">
        <is>
          <t>📍</t>
        </is>
      </c>
      <c r="H188" s="23" t="inlineStr"/>
      <c r="I188" s="23" t="inlineStr"/>
      <c r="J188" s="40" t="inlineStr">
        <is>
          <t>🔥 Без сайту</t>
        </is>
      </c>
      <c r="K188" s="37" t="inlineStr">
        <is>
          <t>❌</t>
        </is>
      </c>
      <c r="L188" s="27" t="inlineStr">
        <is>
          <t>❌</t>
        </is>
      </c>
      <c r="M188" s="38" t="inlineStr">
        <is>
          <t>🟢 A</t>
        </is>
      </c>
      <c r="N188" s="21" t="inlineStr"/>
      <c r="O188" s="21" t="inlineStr"/>
      <c r="P188" s="23" t="inlineStr">
        <is>
          <t>—</t>
        </is>
      </c>
      <c r="Q188" s="23" t="inlineStr"/>
      <c r="R188" s="28" t="n"/>
      <c r="S188" s="23" t="inlineStr"/>
      <c r="T188" s="19" t="inlineStr">
        <is>
          <t>🟡 Новий</t>
        </is>
      </c>
      <c r="U188" s="21" t="inlineStr"/>
      <c r="V188" s="28" t="n"/>
      <c r="W188" s="21" t="inlineStr"/>
    </row>
    <row r="189" ht="20" customHeight="1">
      <c r="A189" s="9" t="n">
        <v>187</v>
      </c>
      <c r="B189" s="10" t="inlineStr">
        <is>
          <t>Seven heaven</t>
        </is>
      </c>
      <c r="C189" s="10" t="inlineStr">
        <is>
          <t>Львів</t>
        </is>
      </c>
      <c r="D189" s="11" t="inlineStr"/>
      <c r="E189" s="11" t="inlineStr"/>
      <c r="F189" s="11" t="inlineStr"/>
      <c r="G189" s="13" t="inlineStr">
        <is>
          <t>📍</t>
        </is>
      </c>
      <c r="H189" s="11" t="inlineStr"/>
      <c r="I189" s="11" t="inlineStr"/>
      <c r="J189" s="40" t="inlineStr">
        <is>
          <t>🔥 Без сайту</t>
        </is>
      </c>
      <c r="K189" s="39" t="inlineStr">
        <is>
          <t>❌</t>
        </is>
      </c>
      <c r="L189" s="16" t="inlineStr">
        <is>
          <t>❌</t>
        </is>
      </c>
      <c r="M189" s="38" t="inlineStr">
        <is>
          <t>🟢 A</t>
        </is>
      </c>
      <c r="N189" s="10" t="inlineStr"/>
      <c r="O189" s="10" t="inlineStr"/>
      <c r="P189" s="11" t="inlineStr">
        <is>
          <t>—</t>
        </is>
      </c>
      <c r="Q189" s="11" t="inlineStr"/>
      <c r="R189" s="18" t="n"/>
      <c r="S189" s="11" t="inlineStr"/>
      <c r="T189" s="19" t="inlineStr">
        <is>
          <t>🟡 Новий</t>
        </is>
      </c>
      <c r="U189" s="10" t="inlineStr"/>
      <c r="V189" s="18" t="n"/>
      <c r="W189" s="10" t="inlineStr"/>
    </row>
    <row r="190" ht="20" customHeight="1">
      <c r="A190" s="20" t="n">
        <v>188</v>
      </c>
      <c r="B190" s="21" t="inlineStr">
        <is>
          <t>She Coffee</t>
        </is>
      </c>
      <c r="C190" s="21" t="inlineStr">
        <is>
          <t>Львів</t>
        </is>
      </c>
      <c r="D190" s="23" t="inlineStr"/>
      <c r="E190" s="23" t="inlineStr"/>
      <c r="F190" s="23" t="inlineStr"/>
      <c r="G190" s="25" t="inlineStr">
        <is>
          <t>📍</t>
        </is>
      </c>
      <c r="H190" s="23" t="inlineStr"/>
      <c r="I190" s="23" t="inlineStr"/>
      <c r="J190" s="40" t="inlineStr">
        <is>
          <t>🔥 Без сайту</t>
        </is>
      </c>
      <c r="K190" s="37" t="inlineStr">
        <is>
          <t>❌</t>
        </is>
      </c>
      <c r="L190" s="27" t="inlineStr">
        <is>
          <t>❌</t>
        </is>
      </c>
      <c r="M190" s="38" t="inlineStr">
        <is>
          <t>🟢 A</t>
        </is>
      </c>
      <c r="N190" s="21" t="inlineStr"/>
      <c r="O190" s="21" t="inlineStr"/>
      <c r="P190" s="23" t="inlineStr">
        <is>
          <t>—</t>
        </is>
      </c>
      <c r="Q190" s="23" t="inlineStr"/>
      <c r="R190" s="28" t="n"/>
      <c r="S190" s="23" t="inlineStr"/>
      <c r="T190" s="19" t="inlineStr">
        <is>
          <t>🟡 Новий</t>
        </is>
      </c>
      <c r="U190" s="21" t="inlineStr"/>
      <c r="V190" s="28" t="n"/>
      <c r="W190" s="21" t="inlineStr"/>
    </row>
    <row r="191" ht="20" customHeight="1">
      <c r="A191" s="9" t="n">
        <v>189</v>
      </c>
      <c r="B191" s="10" t="inlineStr">
        <is>
          <t>ShoCo</t>
        </is>
      </c>
      <c r="C191" s="10" t="inlineStr">
        <is>
          <t>Львів</t>
        </is>
      </c>
      <c r="D191" s="11" t="inlineStr"/>
      <c r="E191" s="11" t="inlineStr"/>
      <c r="F191" s="11" t="inlineStr"/>
      <c r="G191" s="13" t="inlineStr">
        <is>
          <t>📍</t>
        </is>
      </c>
      <c r="H191" s="11" t="inlineStr"/>
      <c r="I191" s="11" t="inlineStr"/>
      <c r="J191" s="40" t="inlineStr">
        <is>
          <t>🔥 Без сайту</t>
        </is>
      </c>
      <c r="K191" s="39" t="inlineStr">
        <is>
          <t>❌</t>
        </is>
      </c>
      <c r="L191" s="16" t="inlineStr">
        <is>
          <t>❌</t>
        </is>
      </c>
      <c r="M191" s="38" t="inlineStr">
        <is>
          <t>🟢 A</t>
        </is>
      </c>
      <c r="N191" s="10" t="inlineStr"/>
      <c r="O191" s="10" t="inlineStr"/>
      <c r="P191" s="11" t="inlineStr">
        <is>
          <t>—</t>
        </is>
      </c>
      <c r="Q191" s="11" t="inlineStr"/>
      <c r="R191" s="18" t="n"/>
      <c r="S191" s="11" t="inlineStr"/>
      <c r="T191" s="19" t="inlineStr">
        <is>
          <t>🟡 Новий</t>
        </is>
      </c>
      <c r="U191" s="10" t="inlineStr"/>
      <c r="V191" s="18" t="n"/>
      <c r="W191" s="10" t="inlineStr"/>
    </row>
    <row r="192" ht="20" customHeight="1">
      <c r="A192" s="20" t="n">
        <v>190</v>
      </c>
      <c r="B192" s="21" t="inlineStr">
        <is>
          <t>Sisters</t>
        </is>
      </c>
      <c r="C192" s="21" t="inlineStr">
        <is>
          <t>Львів</t>
        </is>
      </c>
      <c r="D192" s="22" t="inlineStr">
        <is>
          <t>+380630707010</t>
        </is>
      </c>
      <c r="E192" s="23" t="inlineStr"/>
      <c r="F192" s="23" t="inlineStr"/>
      <c r="G192" s="25" t="inlineStr">
        <is>
          <t>📍</t>
        </is>
      </c>
      <c r="H192" s="23" t="inlineStr"/>
      <c r="I192" s="23" t="inlineStr"/>
      <c r="J192" s="40" t="inlineStr">
        <is>
          <t>🔥 Без сайту</t>
        </is>
      </c>
      <c r="K192" s="37" t="inlineStr">
        <is>
          <t>❌</t>
        </is>
      </c>
      <c r="L192" s="27" t="inlineStr">
        <is>
          <t>❌</t>
        </is>
      </c>
      <c r="M192" s="38" t="inlineStr">
        <is>
          <t>🟢 A</t>
        </is>
      </c>
      <c r="N192" s="21" t="inlineStr"/>
      <c r="O192" s="21" t="inlineStr"/>
      <c r="P192" s="23" t="inlineStr">
        <is>
          <t>—</t>
        </is>
      </c>
      <c r="Q192" s="23" t="inlineStr"/>
      <c r="R192" s="28" t="n"/>
      <c r="S192" s="23" t="inlineStr"/>
      <c r="T192" s="19" t="inlineStr">
        <is>
          <t>🟡 Новий</t>
        </is>
      </c>
      <c r="U192" s="21" t="inlineStr"/>
      <c r="V192" s="28" t="n"/>
      <c r="W192" s="21" t="inlineStr"/>
    </row>
    <row r="193" ht="20" customHeight="1">
      <c r="A193" s="9" t="n">
        <v>191</v>
      </c>
      <c r="B193" s="10" t="inlineStr">
        <is>
          <t>Street kava</t>
        </is>
      </c>
      <c r="C193" s="10" t="inlineStr">
        <is>
          <t>Львів</t>
        </is>
      </c>
      <c r="D193" s="11" t="inlineStr"/>
      <c r="E193" s="11" t="inlineStr"/>
      <c r="F193" s="11" t="inlineStr"/>
      <c r="G193" s="13" t="inlineStr">
        <is>
          <t>📍</t>
        </is>
      </c>
      <c r="H193" s="11" t="inlineStr"/>
      <c r="I193" s="11" t="inlineStr"/>
      <c r="J193" s="40" t="inlineStr">
        <is>
          <t>🔥 Без сайту</t>
        </is>
      </c>
      <c r="K193" s="39" t="inlineStr">
        <is>
          <t>❌</t>
        </is>
      </c>
      <c r="L193" s="16" t="inlineStr">
        <is>
          <t>❌</t>
        </is>
      </c>
      <c r="M193" s="38" t="inlineStr">
        <is>
          <t>🟢 A</t>
        </is>
      </c>
      <c r="N193" s="10" t="inlineStr"/>
      <c r="O193" s="10" t="inlineStr"/>
      <c r="P193" s="11" t="inlineStr">
        <is>
          <t>—</t>
        </is>
      </c>
      <c r="Q193" s="11" t="inlineStr"/>
      <c r="R193" s="18" t="n"/>
      <c r="S193" s="11" t="inlineStr"/>
      <c r="T193" s="19" t="inlineStr">
        <is>
          <t>🟡 Новий</t>
        </is>
      </c>
      <c r="U193" s="10" t="inlineStr"/>
      <c r="V193" s="18" t="n"/>
      <c r="W193" s="10" t="inlineStr"/>
    </row>
    <row r="194" ht="20" customHeight="1">
      <c r="A194" s="20" t="n">
        <v>192</v>
      </c>
      <c r="B194" s="21" t="inlineStr">
        <is>
          <t>Street kebab</t>
        </is>
      </c>
      <c r="C194" s="21" t="inlineStr">
        <is>
          <t>Львів</t>
        </is>
      </c>
      <c r="D194" s="23" t="inlineStr"/>
      <c r="E194" s="23" t="inlineStr"/>
      <c r="F194" s="23" t="inlineStr"/>
      <c r="G194" s="25" t="inlineStr">
        <is>
          <t>📍</t>
        </is>
      </c>
      <c r="H194" s="23" t="inlineStr"/>
      <c r="I194" s="23" t="inlineStr"/>
      <c r="J194" s="40" t="inlineStr">
        <is>
          <t>🔥 Без сайту</t>
        </is>
      </c>
      <c r="K194" s="37" t="inlineStr">
        <is>
          <t>❌</t>
        </is>
      </c>
      <c r="L194" s="27" t="inlineStr">
        <is>
          <t>❌</t>
        </is>
      </c>
      <c r="M194" s="38" t="inlineStr">
        <is>
          <t>🟢 A</t>
        </is>
      </c>
      <c r="N194" s="21" t="inlineStr"/>
      <c r="O194" s="21" t="inlineStr"/>
      <c r="P194" s="23" t="inlineStr">
        <is>
          <t>—</t>
        </is>
      </c>
      <c r="Q194" s="23" t="inlineStr"/>
      <c r="R194" s="28" t="n"/>
      <c r="S194" s="23" t="inlineStr"/>
      <c r="T194" s="19" t="inlineStr">
        <is>
          <t>🟡 Новий</t>
        </is>
      </c>
      <c r="U194" s="21" t="inlineStr"/>
      <c r="V194" s="28" t="n"/>
      <c r="W194" s="21" t="inlineStr"/>
    </row>
    <row r="195" ht="20" customHeight="1">
      <c r="A195" s="9" t="n">
        <v>193</v>
      </c>
      <c r="B195" s="10" t="inlineStr">
        <is>
          <t>Sushi Time</t>
        </is>
      </c>
      <c r="C195" s="10" t="inlineStr">
        <is>
          <t>Львів</t>
        </is>
      </c>
      <c r="D195" s="11" t="inlineStr"/>
      <c r="E195" s="11" t="inlineStr"/>
      <c r="F195" s="11" t="inlineStr"/>
      <c r="G195" s="13" t="inlineStr">
        <is>
          <t>📍</t>
        </is>
      </c>
      <c r="H195" s="11" t="inlineStr"/>
      <c r="I195" s="11" t="inlineStr"/>
      <c r="J195" s="40" t="inlineStr">
        <is>
          <t>🔥 Без сайту</t>
        </is>
      </c>
      <c r="K195" s="39" t="inlineStr">
        <is>
          <t>❌</t>
        </is>
      </c>
      <c r="L195" s="16" t="inlineStr">
        <is>
          <t>❌</t>
        </is>
      </c>
      <c r="M195" s="38" t="inlineStr">
        <is>
          <t>🟢 A</t>
        </is>
      </c>
      <c r="N195" s="10" t="inlineStr"/>
      <c r="O195" s="10" t="inlineStr"/>
      <c r="P195" s="11" t="inlineStr">
        <is>
          <t>—</t>
        </is>
      </c>
      <c r="Q195" s="11" t="inlineStr"/>
      <c r="R195" s="18" t="n"/>
      <c r="S195" s="11" t="inlineStr"/>
      <c r="T195" s="19" t="inlineStr">
        <is>
          <t>🟡 Новий</t>
        </is>
      </c>
      <c r="U195" s="10" t="inlineStr"/>
      <c r="V195" s="18" t="n"/>
      <c r="W195" s="10" t="inlineStr"/>
    </row>
    <row r="196" ht="20" customHeight="1">
      <c r="A196" s="20" t="n">
        <v>194</v>
      </c>
      <c r="B196" s="21" t="inlineStr">
        <is>
          <t>Sushi-Pizza</t>
        </is>
      </c>
      <c r="C196" s="21" t="inlineStr">
        <is>
          <t>Львів</t>
        </is>
      </c>
      <c r="D196" s="23" t="inlineStr"/>
      <c r="E196" s="23" t="inlineStr"/>
      <c r="F196" s="23" t="inlineStr"/>
      <c r="G196" s="25" t="inlineStr">
        <is>
          <t>📍</t>
        </is>
      </c>
      <c r="H196" s="23" t="inlineStr"/>
      <c r="I196" s="23" t="inlineStr"/>
      <c r="J196" s="40" t="inlineStr">
        <is>
          <t>🔥 Без сайту</t>
        </is>
      </c>
      <c r="K196" s="37" t="inlineStr">
        <is>
          <t>❌</t>
        </is>
      </c>
      <c r="L196" s="27" t="inlineStr">
        <is>
          <t>❌</t>
        </is>
      </c>
      <c r="M196" s="38" t="inlineStr">
        <is>
          <t>🟢 A</t>
        </is>
      </c>
      <c r="N196" s="21" t="inlineStr"/>
      <c r="O196" s="21" t="inlineStr"/>
      <c r="P196" s="23" t="inlineStr">
        <is>
          <t>—</t>
        </is>
      </c>
      <c r="Q196" s="23" t="inlineStr"/>
      <c r="R196" s="28" t="n"/>
      <c r="S196" s="23" t="inlineStr"/>
      <c r="T196" s="19" t="inlineStr">
        <is>
          <t>🟡 Новий</t>
        </is>
      </c>
      <c r="U196" s="21" t="inlineStr"/>
      <c r="V196" s="28" t="n"/>
      <c r="W196" s="21" t="inlineStr"/>
    </row>
    <row r="197" ht="20" customHeight="1">
      <c r="A197" s="9" t="n">
        <v>195</v>
      </c>
      <c r="B197" s="10" t="inlineStr">
        <is>
          <t>TAKAVA</t>
        </is>
      </c>
      <c r="C197" s="10" t="inlineStr">
        <is>
          <t>вул. вулиця Миколи Вороного, 3, Львів</t>
        </is>
      </c>
      <c r="D197" s="11" t="inlineStr"/>
      <c r="E197" s="11" t="inlineStr"/>
      <c r="F197" s="11" t="inlineStr"/>
      <c r="G197" s="13" t="inlineStr">
        <is>
          <t>📍</t>
        </is>
      </c>
      <c r="H197" s="11" t="inlineStr"/>
      <c r="I197" s="11" t="inlineStr"/>
      <c r="J197" s="40" t="inlineStr">
        <is>
          <t>🔥 Без сайту</t>
        </is>
      </c>
      <c r="K197" s="39" t="inlineStr">
        <is>
          <t>❌</t>
        </is>
      </c>
      <c r="L197" s="16" t="inlineStr">
        <is>
          <t>❌</t>
        </is>
      </c>
      <c r="M197" s="38" t="inlineStr">
        <is>
          <t>🟢 A</t>
        </is>
      </c>
      <c r="N197" s="10" t="inlineStr"/>
      <c r="O197" s="10" t="inlineStr"/>
      <c r="P197" s="11" t="inlineStr">
        <is>
          <t>—</t>
        </is>
      </c>
      <c r="Q197" s="11" t="inlineStr"/>
      <c r="R197" s="18" t="n"/>
      <c r="S197" s="11" t="inlineStr"/>
      <c r="T197" s="19" t="inlineStr">
        <is>
          <t>🟡 Новий</t>
        </is>
      </c>
      <c r="U197" s="10" t="inlineStr"/>
      <c r="V197" s="18" t="n"/>
      <c r="W197" s="10" t="inlineStr"/>
    </row>
    <row r="198" ht="20" customHeight="1">
      <c r="A198" s="20" t="n">
        <v>196</v>
      </c>
      <c r="B198" s="21" t="inlineStr">
        <is>
          <t>Take &amp; Wake</t>
        </is>
      </c>
      <c r="C198" s="21" t="inlineStr">
        <is>
          <t>вул. вулиця Івана Горбачевського, 24, Львів</t>
        </is>
      </c>
      <c r="D198" s="23" t="inlineStr"/>
      <c r="E198" s="23" t="inlineStr"/>
      <c r="F198" s="23" t="inlineStr"/>
      <c r="G198" s="25" t="inlineStr">
        <is>
          <t>📍</t>
        </is>
      </c>
      <c r="H198" s="23" t="inlineStr"/>
      <c r="I198" s="23" t="inlineStr"/>
      <c r="J198" s="40" t="inlineStr">
        <is>
          <t>🔥 Без сайту</t>
        </is>
      </c>
      <c r="K198" s="37" t="inlineStr">
        <is>
          <t>❌</t>
        </is>
      </c>
      <c r="L198" s="27" t="inlineStr">
        <is>
          <t>❌</t>
        </is>
      </c>
      <c r="M198" s="38" t="inlineStr">
        <is>
          <t>🟢 A</t>
        </is>
      </c>
      <c r="N198" s="21" t="inlineStr"/>
      <c r="O198" s="21" t="inlineStr"/>
      <c r="P198" s="23" t="inlineStr">
        <is>
          <t>—</t>
        </is>
      </c>
      <c r="Q198" s="23" t="inlineStr"/>
      <c r="R198" s="28" t="n"/>
      <c r="S198" s="23" t="inlineStr"/>
      <c r="T198" s="19" t="inlineStr">
        <is>
          <t>🟡 Новий</t>
        </is>
      </c>
      <c r="U198" s="21" t="inlineStr"/>
      <c r="V198" s="28" t="n"/>
      <c r="W198" s="21" t="inlineStr"/>
    </row>
    <row r="199" ht="20" customHeight="1">
      <c r="A199" s="9" t="n">
        <v>197</v>
      </c>
      <c r="B199" s="10" t="inlineStr">
        <is>
          <t>Te Amo Lviv</t>
        </is>
      </c>
      <c r="C199" s="10" t="inlineStr">
        <is>
          <t>Львів</t>
        </is>
      </c>
      <c r="D199" s="11" t="inlineStr"/>
      <c r="E199" s="11" t="inlineStr"/>
      <c r="F199" s="11" t="inlineStr"/>
      <c r="G199" s="13" t="inlineStr">
        <is>
          <t>📍</t>
        </is>
      </c>
      <c r="H199" s="11" t="inlineStr"/>
      <c r="I199" s="11" t="inlineStr"/>
      <c r="J199" s="40" t="inlineStr">
        <is>
          <t>🔥 Без сайту</t>
        </is>
      </c>
      <c r="K199" s="39" t="inlineStr">
        <is>
          <t>❌</t>
        </is>
      </c>
      <c r="L199" s="16" t="inlineStr">
        <is>
          <t>❌</t>
        </is>
      </c>
      <c r="M199" s="38" t="inlineStr">
        <is>
          <t>🟢 A</t>
        </is>
      </c>
      <c r="N199" s="10" t="inlineStr"/>
      <c r="O199" s="10" t="inlineStr"/>
      <c r="P199" s="11" t="inlineStr">
        <is>
          <t>—</t>
        </is>
      </c>
      <c r="Q199" s="11" t="inlineStr"/>
      <c r="R199" s="18" t="n"/>
      <c r="S199" s="11" t="inlineStr"/>
      <c r="T199" s="19" t="inlineStr">
        <is>
          <t>🟡 Новий</t>
        </is>
      </c>
      <c r="U199" s="10" t="inlineStr"/>
      <c r="V199" s="18" t="n"/>
      <c r="W199" s="10" t="inlineStr"/>
    </row>
    <row r="200" ht="20" customHeight="1">
      <c r="A200" s="20" t="n">
        <v>198</v>
      </c>
      <c r="B200" s="21" t="inlineStr">
        <is>
          <t>The Cult</t>
        </is>
      </c>
      <c r="C200" s="21" t="inlineStr">
        <is>
          <t>Львів</t>
        </is>
      </c>
      <c r="D200" s="23" t="inlineStr"/>
      <c r="E200" s="23" t="inlineStr"/>
      <c r="F200" s="23" t="inlineStr"/>
      <c r="G200" s="25" t="inlineStr">
        <is>
          <t>📍</t>
        </is>
      </c>
      <c r="H200" s="23" t="inlineStr"/>
      <c r="I200" s="23" t="inlineStr"/>
      <c r="J200" s="40" t="inlineStr">
        <is>
          <t>🔥 Без сайту</t>
        </is>
      </c>
      <c r="K200" s="37" t="inlineStr">
        <is>
          <t>❌</t>
        </is>
      </c>
      <c r="L200" s="27" t="inlineStr">
        <is>
          <t>❌</t>
        </is>
      </c>
      <c r="M200" s="38" t="inlineStr">
        <is>
          <t>🟢 A</t>
        </is>
      </c>
      <c r="N200" s="21" t="inlineStr"/>
      <c r="O200" s="21" t="inlineStr"/>
      <c r="P200" s="23" t="inlineStr">
        <is>
          <t>—</t>
        </is>
      </c>
      <c r="Q200" s="23" t="inlineStr"/>
      <c r="R200" s="28" t="n"/>
      <c r="S200" s="23" t="inlineStr"/>
      <c r="T200" s="19" t="inlineStr">
        <is>
          <t>🟡 Новий</t>
        </is>
      </c>
      <c r="U200" s="21" t="inlineStr"/>
      <c r="V200" s="28" t="n"/>
      <c r="W200" s="21" t="inlineStr"/>
    </row>
    <row r="201" ht="20" customHeight="1">
      <c r="A201" s="9" t="n">
        <v>199</v>
      </c>
      <c r="B201" s="10" t="inlineStr">
        <is>
          <t>The Game</t>
        </is>
      </c>
      <c r="C201" s="10" t="inlineStr">
        <is>
          <t>Львів</t>
        </is>
      </c>
      <c r="D201" s="11" t="inlineStr"/>
      <c r="E201" s="11" t="inlineStr"/>
      <c r="F201" s="11" t="inlineStr"/>
      <c r="G201" s="13" t="inlineStr">
        <is>
          <t>📍</t>
        </is>
      </c>
      <c r="H201" s="11" t="inlineStr"/>
      <c r="I201" s="11" t="inlineStr"/>
      <c r="J201" s="40" t="inlineStr">
        <is>
          <t>🔥 Без сайту</t>
        </is>
      </c>
      <c r="K201" s="39" t="inlineStr">
        <is>
          <t>❌</t>
        </is>
      </c>
      <c r="L201" s="16" t="inlineStr">
        <is>
          <t>❌</t>
        </is>
      </c>
      <c r="M201" s="38" t="inlineStr">
        <is>
          <t>🟢 A</t>
        </is>
      </c>
      <c r="N201" s="10" t="inlineStr"/>
      <c r="O201" s="10" t="inlineStr"/>
      <c r="P201" s="11" t="inlineStr">
        <is>
          <t>—</t>
        </is>
      </c>
      <c r="Q201" s="11" t="inlineStr"/>
      <c r="R201" s="18" t="n"/>
      <c r="S201" s="11" t="inlineStr"/>
      <c r="T201" s="19" t="inlineStr">
        <is>
          <t>🟡 Новий</t>
        </is>
      </c>
      <c r="U201" s="10" t="inlineStr"/>
      <c r="V201" s="18" t="n"/>
      <c r="W201" s="10" t="inlineStr"/>
    </row>
    <row r="202" ht="20" customHeight="1">
      <c r="A202" s="20" t="n">
        <v>200</v>
      </c>
      <c r="B202" s="21" t="inlineStr">
        <is>
          <t>The Garage</t>
        </is>
      </c>
      <c r="C202" s="21" t="inlineStr">
        <is>
          <t>вул. Пекарська вулиця, 13, Львів</t>
        </is>
      </c>
      <c r="D202" s="22" t="inlineStr">
        <is>
          <t>+380 66 940 9816</t>
        </is>
      </c>
      <c r="E202" s="23" t="inlineStr"/>
      <c r="F202" s="23" t="inlineStr"/>
      <c r="G202" s="25" t="inlineStr">
        <is>
          <t>📍</t>
        </is>
      </c>
      <c r="H202" s="23" t="inlineStr"/>
      <c r="I202" s="23" t="inlineStr"/>
      <c r="J202" s="40" t="inlineStr">
        <is>
          <t>🔥 Без сайту</t>
        </is>
      </c>
      <c r="K202" s="37" t="inlineStr">
        <is>
          <t>❌</t>
        </is>
      </c>
      <c r="L202" s="27" t="inlineStr">
        <is>
          <t>❌</t>
        </is>
      </c>
      <c r="M202" s="38" t="inlineStr">
        <is>
          <t>🟢 A</t>
        </is>
      </c>
      <c r="N202" s="21" t="inlineStr"/>
      <c r="O202" s="21" t="inlineStr"/>
      <c r="P202" s="23" t="inlineStr">
        <is>
          <t>—</t>
        </is>
      </c>
      <c r="Q202" s="23" t="inlineStr"/>
      <c r="R202" s="28" t="n"/>
      <c r="S202" s="23" t="inlineStr"/>
      <c r="T202" s="19" t="inlineStr">
        <is>
          <t>🟡 Новий</t>
        </is>
      </c>
      <c r="U202" s="21" t="inlineStr"/>
      <c r="V202" s="28" t="n"/>
      <c r="W202" s="21" t="inlineStr"/>
    </row>
    <row r="203" ht="20" customHeight="1">
      <c r="A203" s="9" t="n">
        <v>201</v>
      </c>
      <c r="B203" s="10" t="inlineStr">
        <is>
          <t>The Гриль</t>
        </is>
      </c>
      <c r="C203" s="10" t="inlineStr">
        <is>
          <t>вул. Театральна вулиця, 22, Львів</t>
        </is>
      </c>
      <c r="D203" s="11" t="inlineStr"/>
      <c r="E203" s="11" t="inlineStr"/>
      <c r="F203" s="11" t="inlineStr"/>
      <c r="G203" s="13" t="inlineStr">
        <is>
          <t>📍</t>
        </is>
      </c>
      <c r="H203" s="11" t="inlineStr"/>
      <c r="I203" s="11" t="inlineStr"/>
      <c r="J203" s="40" t="inlineStr">
        <is>
          <t>🔥 Без сайту</t>
        </is>
      </c>
      <c r="K203" s="39" t="inlineStr">
        <is>
          <t>❌</t>
        </is>
      </c>
      <c r="L203" s="16" t="inlineStr">
        <is>
          <t>❌</t>
        </is>
      </c>
      <c r="M203" s="38" t="inlineStr">
        <is>
          <t>🟢 A</t>
        </is>
      </c>
      <c r="N203" s="10" t="inlineStr"/>
      <c r="O203" s="10" t="inlineStr"/>
      <c r="P203" s="11" t="inlineStr">
        <is>
          <t>—</t>
        </is>
      </c>
      <c r="Q203" s="11" t="inlineStr"/>
      <c r="R203" s="18" t="n"/>
      <c r="S203" s="11" t="inlineStr"/>
      <c r="T203" s="19" t="inlineStr">
        <is>
          <t>🟡 Новий</t>
        </is>
      </c>
      <c r="U203" s="10" t="inlineStr"/>
      <c r="V203" s="18" t="n"/>
      <c r="W203" s="10" t="inlineStr"/>
    </row>
    <row r="204" ht="20" customHeight="1">
      <c r="A204" s="20" t="n">
        <v>202</v>
      </c>
      <c r="B204" s="21" t="inlineStr">
        <is>
          <t>Tomato</t>
        </is>
      </c>
      <c r="C204" s="21" t="inlineStr">
        <is>
          <t>Львів</t>
        </is>
      </c>
      <c r="D204" s="23" t="inlineStr"/>
      <c r="E204" s="23" t="inlineStr"/>
      <c r="F204" s="23" t="inlineStr"/>
      <c r="G204" s="25" t="inlineStr">
        <is>
          <t>📍</t>
        </is>
      </c>
      <c r="H204" s="23" t="inlineStr"/>
      <c r="I204" s="23" t="inlineStr"/>
      <c r="J204" s="40" t="inlineStr">
        <is>
          <t>🔥 Без сайту</t>
        </is>
      </c>
      <c r="K204" s="37" t="inlineStr">
        <is>
          <t>❌</t>
        </is>
      </c>
      <c r="L204" s="27" t="inlineStr">
        <is>
          <t>❌</t>
        </is>
      </c>
      <c r="M204" s="38" t="inlineStr">
        <is>
          <t>🟢 A</t>
        </is>
      </c>
      <c r="N204" s="21" t="inlineStr"/>
      <c r="O204" s="21" t="inlineStr"/>
      <c r="P204" s="23" t="inlineStr">
        <is>
          <t>—</t>
        </is>
      </c>
      <c r="Q204" s="23" t="inlineStr"/>
      <c r="R204" s="28" t="n"/>
      <c r="S204" s="23" t="inlineStr"/>
      <c r="T204" s="19" t="inlineStr">
        <is>
          <t>🟡 Новий</t>
        </is>
      </c>
      <c r="U204" s="21" t="inlineStr"/>
      <c r="V204" s="28" t="n"/>
      <c r="W204" s="21" t="inlineStr"/>
    </row>
    <row r="205" ht="20" customHeight="1">
      <c r="A205" s="9" t="n">
        <v>203</v>
      </c>
      <c r="B205" s="10" t="inlineStr">
        <is>
          <t>Urban Cofee</t>
        </is>
      </c>
      <c r="C205" s="10" t="inlineStr">
        <is>
          <t>Львів</t>
        </is>
      </c>
      <c r="D205" s="11" t="inlineStr"/>
      <c r="E205" s="11" t="inlineStr"/>
      <c r="F205" s="11" t="inlineStr"/>
      <c r="G205" s="13" t="inlineStr">
        <is>
          <t>📍</t>
        </is>
      </c>
      <c r="H205" s="11" t="inlineStr"/>
      <c r="I205" s="11" t="inlineStr"/>
      <c r="J205" s="40" t="inlineStr">
        <is>
          <t>🔥 Без сайту</t>
        </is>
      </c>
      <c r="K205" s="39" t="inlineStr">
        <is>
          <t>❌</t>
        </is>
      </c>
      <c r="L205" s="16" t="inlineStr">
        <is>
          <t>❌</t>
        </is>
      </c>
      <c r="M205" s="38" t="inlineStr">
        <is>
          <t>🟢 A</t>
        </is>
      </c>
      <c r="N205" s="10" t="inlineStr"/>
      <c r="O205" s="10" t="inlineStr"/>
      <c r="P205" s="11" t="inlineStr">
        <is>
          <t>—</t>
        </is>
      </c>
      <c r="Q205" s="11" t="inlineStr"/>
      <c r="R205" s="18" t="n"/>
      <c r="S205" s="11" t="inlineStr"/>
      <c r="T205" s="19" t="inlineStr">
        <is>
          <t>🟡 Новий</t>
        </is>
      </c>
      <c r="U205" s="10" t="inlineStr"/>
      <c r="V205" s="18" t="n"/>
      <c r="W205" s="10" t="inlineStr"/>
    </row>
    <row r="206" ht="20" customHeight="1">
      <c r="A206" s="20" t="n">
        <v>204</v>
      </c>
      <c r="B206" s="21" t="inlineStr">
        <is>
          <t>Urban Coffee</t>
        </is>
      </c>
      <c r="C206" s="21" t="inlineStr">
        <is>
          <t>Львів</t>
        </is>
      </c>
      <c r="D206" s="23" t="inlineStr"/>
      <c r="E206" s="23" t="inlineStr"/>
      <c r="F206" s="23" t="inlineStr"/>
      <c r="G206" s="25" t="inlineStr">
        <is>
          <t>📍</t>
        </is>
      </c>
      <c r="H206" s="23" t="inlineStr"/>
      <c r="I206" s="23" t="inlineStr"/>
      <c r="J206" s="40" t="inlineStr">
        <is>
          <t>🔥 Без сайту</t>
        </is>
      </c>
      <c r="K206" s="37" t="inlineStr">
        <is>
          <t>❌</t>
        </is>
      </c>
      <c r="L206" s="27" t="inlineStr">
        <is>
          <t>❌</t>
        </is>
      </c>
      <c r="M206" s="38" t="inlineStr">
        <is>
          <t>🟢 A</t>
        </is>
      </c>
      <c r="N206" s="21" t="inlineStr"/>
      <c r="O206" s="21" t="inlineStr"/>
      <c r="P206" s="23" t="inlineStr">
        <is>
          <t>—</t>
        </is>
      </c>
      <c r="Q206" s="23" t="inlineStr"/>
      <c r="R206" s="28" t="n"/>
      <c r="S206" s="23" t="inlineStr"/>
      <c r="T206" s="19" t="inlineStr">
        <is>
          <t>🟡 Новий</t>
        </is>
      </c>
      <c r="U206" s="21" t="inlineStr"/>
      <c r="V206" s="28" t="n"/>
      <c r="W206" s="21" t="inlineStr"/>
    </row>
    <row r="207" ht="20" customHeight="1">
      <c r="A207" s="9" t="n">
        <v>205</v>
      </c>
      <c r="B207" s="10" t="inlineStr">
        <is>
          <t>Vort Runa</t>
        </is>
      </c>
      <c r="C207" s="10" t="inlineStr">
        <is>
          <t>Львів</t>
        </is>
      </c>
      <c r="D207" s="11" t="inlineStr"/>
      <c r="E207" s="11" t="inlineStr"/>
      <c r="F207" s="11" t="inlineStr"/>
      <c r="G207" s="13" t="inlineStr">
        <is>
          <t>📍</t>
        </is>
      </c>
      <c r="H207" s="11" t="inlineStr"/>
      <c r="I207" s="11" t="inlineStr"/>
      <c r="J207" s="40" t="inlineStr">
        <is>
          <t>🔥 Без сайту</t>
        </is>
      </c>
      <c r="K207" s="39" t="inlineStr">
        <is>
          <t>❌</t>
        </is>
      </c>
      <c r="L207" s="16" t="inlineStr">
        <is>
          <t>❌</t>
        </is>
      </c>
      <c r="M207" s="38" t="inlineStr">
        <is>
          <t>🟢 A</t>
        </is>
      </c>
      <c r="N207" s="10" t="inlineStr"/>
      <c r="O207" s="10" t="inlineStr"/>
      <c r="P207" s="11" t="inlineStr">
        <is>
          <t>—</t>
        </is>
      </c>
      <c r="Q207" s="11" t="inlineStr"/>
      <c r="R207" s="18" t="n"/>
      <c r="S207" s="11" t="inlineStr"/>
      <c r="T207" s="19" t="inlineStr">
        <is>
          <t>🟡 Новий</t>
        </is>
      </c>
      <c r="U207" s="10" t="inlineStr"/>
      <c r="V207" s="18" t="n"/>
      <c r="W207" s="10" t="inlineStr"/>
    </row>
    <row r="208" ht="20" customHeight="1">
      <c r="A208" s="20" t="n">
        <v>206</v>
      </c>
      <c r="B208" s="21" t="inlineStr">
        <is>
          <t>WOG кафе</t>
        </is>
      </c>
      <c r="C208" s="21" t="inlineStr">
        <is>
          <t>Львів</t>
        </is>
      </c>
      <c r="D208" s="23" t="inlineStr"/>
      <c r="E208" s="23" t="inlineStr"/>
      <c r="F208" s="23" t="inlineStr"/>
      <c r="G208" s="25" t="inlineStr">
        <is>
          <t>📍</t>
        </is>
      </c>
      <c r="H208" s="23" t="inlineStr"/>
      <c r="I208" s="23" t="inlineStr"/>
      <c r="J208" s="40" t="inlineStr">
        <is>
          <t>🔥 Без сайту</t>
        </is>
      </c>
      <c r="K208" s="37" t="inlineStr">
        <is>
          <t>❌</t>
        </is>
      </c>
      <c r="L208" s="27" t="inlineStr">
        <is>
          <t>❌</t>
        </is>
      </c>
      <c r="M208" s="38" t="inlineStr">
        <is>
          <t>🟢 A</t>
        </is>
      </c>
      <c r="N208" s="21" t="inlineStr"/>
      <c r="O208" s="21" t="inlineStr"/>
      <c r="P208" s="23" t="inlineStr">
        <is>
          <t>—</t>
        </is>
      </c>
      <c r="Q208" s="23" t="inlineStr"/>
      <c r="R208" s="28" t="n"/>
      <c r="S208" s="23" t="inlineStr"/>
      <c r="T208" s="19" t="inlineStr">
        <is>
          <t>🟡 Новий</t>
        </is>
      </c>
      <c r="U208" s="21" t="inlineStr"/>
      <c r="V208" s="28" t="n"/>
      <c r="W208" s="21" t="inlineStr"/>
    </row>
    <row r="209" ht="20" customHeight="1">
      <c r="A209" s="9" t="n">
        <v>207</v>
      </c>
      <c r="B209" s="10" t="inlineStr">
        <is>
          <t>Wood</t>
        </is>
      </c>
      <c r="C209" s="10" t="inlineStr">
        <is>
          <t>вул. Малоголосківська вулиця, 28а, Львів</t>
        </is>
      </c>
      <c r="D209" s="11" t="inlineStr"/>
      <c r="E209" s="11" t="inlineStr"/>
      <c r="F209" s="11" t="inlineStr"/>
      <c r="G209" s="13" t="inlineStr">
        <is>
          <t>📍</t>
        </is>
      </c>
      <c r="H209" s="11" t="inlineStr"/>
      <c r="I209" s="11" t="inlineStr"/>
      <c r="J209" s="40" t="inlineStr">
        <is>
          <t>🔥 Без сайту</t>
        </is>
      </c>
      <c r="K209" s="39" t="inlineStr">
        <is>
          <t>❌</t>
        </is>
      </c>
      <c r="L209" s="16" t="inlineStr">
        <is>
          <t>❌</t>
        </is>
      </c>
      <c r="M209" s="38" t="inlineStr">
        <is>
          <t>🟢 A</t>
        </is>
      </c>
      <c r="N209" s="10" t="inlineStr"/>
      <c r="O209" s="10" t="inlineStr"/>
      <c r="P209" s="11" t="inlineStr">
        <is>
          <t>—</t>
        </is>
      </c>
      <c r="Q209" s="11" t="inlineStr"/>
      <c r="R209" s="18" t="n"/>
      <c r="S209" s="11" t="inlineStr"/>
      <c r="T209" s="19" t="inlineStr">
        <is>
          <t>🟡 Новий</t>
        </is>
      </c>
      <c r="U209" s="10" t="inlineStr"/>
      <c r="V209" s="18" t="n"/>
      <c r="W209" s="10" t="inlineStr"/>
    </row>
    <row r="210" ht="20" customHeight="1">
      <c r="A210" s="20" t="n">
        <v>208</v>
      </c>
      <c r="B210" s="21" t="inlineStr">
        <is>
          <t>Wraps</t>
        </is>
      </c>
      <c r="C210" s="21" t="inlineStr">
        <is>
          <t>Львів</t>
        </is>
      </c>
      <c r="D210" s="23" t="inlineStr"/>
      <c r="E210" s="23" t="inlineStr"/>
      <c r="F210" s="23" t="inlineStr"/>
      <c r="G210" s="25" t="inlineStr">
        <is>
          <t>📍</t>
        </is>
      </c>
      <c r="H210" s="23" t="inlineStr"/>
      <c r="I210" s="23" t="inlineStr"/>
      <c r="J210" s="40" t="inlineStr">
        <is>
          <t>🔥 Без сайту</t>
        </is>
      </c>
      <c r="K210" s="37" t="inlineStr">
        <is>
          <t>❌</t>
        </is>
      </c>
      <c r="L210" s="27" t="inlineStr">
        <is>
          <t>❌</t>
        </is>
      </c>
      <c r="M210" s="38" t="inlineStr">
        <is>
          <t>🟢 A</t>
        </is>
      </c>
      <c r="N210" s="21" t="inlineStr"/>
      <c r="O210" s="21" t="inlineStr"/>
      <c r="P210" s="23" t="inlineStr">
        <is>
          <t>—</t>
        </is>
      </c>
      <c r="Q210" s="23" t="inlineStr"/>
      <c r="R210" s="28" t="n"/>
      <c r="S210" s="23" t="inlineStr"/>
      <c r="T210" s="19" t="inlineStr">
        <is>
          <t>🟡 Новий</t>
        </is>
      </c>
      <c r="U210" s="21" t="inlineStr"/>
      <c r="V210" s="28" t="n"/>
      <c r="W210" s="21" t="inlineStr"/>
    </row>
    <row r="211" ht="20" customHeight="1">
      <c r="A211" s="9" t="n">
        <v>209</v>
      </c>
      <c r="B211" s="10" t="inlineStr">
        <is>
          <t>Yellow Цукор</t>
        </is>
      </c>
      <c r="C211" s="10" t="inlineStr">
        <is>
          <t>Львів</t>
        </is>
      </c>
      <c r="D211" s="11" t="inlineStr"/>
      <c r="E211" s="11" t="inlineStr"/>
      <c r="F211" s="11" t="inlineStr"/>
      <c r="G211" s="13" t="inlineStr">
        <is>
          <t>📍</t>
        </is>
      </c>
      <c r="H211" s="11" t="inlineStr"/>
      <c r="I211" s="11" t="inlineStr"/>
      <c r="J211" s="40" t="inlineStr">
        <is>
          <t>🔥 Без сайту</t>
        </is>
      </c>
      <c r="K211" s="39" t="inlineStr">
        <is>
          <t>❌</t>
        </is>
      </c>
      <c r="L211" s="16" t="inlineStr">
        <is>
          <t>❌</t>
        </is>
      </c>
      <c r="M211" s="38" t="inlineStr">
        <is>
          <t>🟢 A</t>
        </is>
      </c>
      <c r="N211" s="10" t="inlineStr"/>
      <c r="O211" s="10" t="inlineStr"/>
      <c r="P211" s="11" t="inlineStr">
        <is>
          <t>—</t>
        </is>
      </c>
      <c r="Q211" s="11" t="inlineStr"/>
      <c r="R211" s="18" t="n"/>
      <c r="S211" s="11" t="inlineStr"/>
      <c r="T211" s="19" t="inlineStr">
        <is>
          <t>🟡 Новий</t>
        </is>
      </c>
      <c r="U211" s="10" t="inlineStr"/>
      <c r="V211" s="18" t="n"/>
      <c r="W211" s="10" t="inlineStr"/>
    </row>
    <row r="212" ht="20" customHeight="1">
      <c r="A212" s="20" t="n">
        <v>210</v>
      </c>
      <c r="B212" s="21" t="inlineStr">
        <is>
          <t>Your burger</t>
        </is>
      </c>
      <c r="C212" s="21" t="inlineStr">
        <is>
          <t>Львів</t>
        </is>
      </c>
      <c r="D212" s="23" t="inlineStr"/>
      <c r="E212" s="23" t="inlineStr"/>
      <c r="F212" s="23" t="inlineStr"/>
      <c r="G212" s="25" t="inlineStr">
        <is>
          <t>📍</t>
        </is>
      </c>
      <c r="H212" s="23" t="inlineStr"/>
      <c r="I212" s="23" t="inlineStr"/>
      <c r="J212" s="40" t="inlineStr">
        <is>
          <t>🔥 Без сайту</t>
        </is>
      </c>
      <c r="K212" s="37" t="inlineStr">
        <is>
          <t>❌</t>
        </is>
      </c>
      <c r="L212" s="27" t="inlineStr">
        <is>
          <t>❌</t>
        </is>
      </c>
      <c r="M212" s="38" t="inlineStr">
        <is>
          <t>🟢 A</t>
        </is>
      </c>
      <c r="N212" s="21" t="inlineStr"/>
      <c r="O212" s="21" t="inlineStr"/>
      <c r="P212" s="23" t="inlineStr">
        <is>
          <t>—</t>
        </is>
      </c>
      <c r="Q212" s="23" t="inlineStr"/>
      <c r="R212" s="28" t="n"/>
      <c r="S212" s="23" t="inlineStr"/>
      <c r="T212" s="19" t="inlineStr">
        <is>
          <t>🟡 Новий</t>
        </is>
      </c>
      <c r="U212" s="21" t="inlineStr"/>
      <c r="V212" s="28" t="n"/>
      <c r="W212" s="21" t="inlineStr"/>
    </row>
    <row r="213" ht="20" customHeight="1">
      <c r="A213" s="9" t="n">
        <v>211</v>
      </c>
      <c r="B213" s="10" t="inlineStr">
        <is>
          <t>Zapiekanki</t>
        </is>
      </c>
      <c r="C213" s="10" t="inlineStr">
        <is>
          <t>Львів</t>
        </is>
      </c>
      <c r="D213" s="11" t="inlineStr"/>
      <c r="E213" s="11" t="inlineStr"/>
      <c r="F213" s="11" t="inlineStr"/>
      <c r="G213" s="13" t="inlineStr">
        <is>
          <t>📍</t>
        </is>
      </c>
      <c r="H213" s="11" t="inlineStr"/>
      <c r="I213" s="11" t="inlineStr"/>
      <c r="J213" s="40" t="inlineStr">
        <is>
          <t>🔥 Без сайту</t>
        </is>
      </c>
      <c r="K213" s="39" t="inlineStr">
        <is>
          <t>❌</t>
        </is>
      </c>
      <c r="L213" s="16" t="inlineStr">
        <is>
          <t>❌</t>
        </is>
      </c>
      <c r="M213" s="38" t="inlineStr">
        <is>
          <t>🟢 A</t>
        </is>
      </c>
      <c r="N213" s="10" t="inlineStr"/>
      <c r="O213" s="10" t="inlineStr"/>
      <c r="P213" s="11" t="inlineStr">
        <is>
          <t>—</t>
        </is>
      </c>
      <c r="Q213" s="11" t="inlineStr"/>
      <c r="R213" s="18" t="n"/>
      <c r="S213" s="11" t="inlineStr"/>
      <c r="T213" s="19" t="inlineStr">
        <is>
          <t>🟡 Новий</t>
        </is>
      </c>
      <c r="U213" s="10" t="inlineStr"/>
      <c r="V213" s="18" t="n"/>
      <c r="W213" s="10" t="inlineStr"/>
    </row>
    <row r="214" ht="20" customHeight="1">
      <c r="A214" s="20" t="n">
        <v>212</v>
      </c>
      <c r="B214" s="21" t="inlineStr">
        <is>
          <t>Zelen</t>
        </is>
      </c>
      <c r="C214" s="21" t="inlineStr">
        <is>
          <t>Львів</t>
        </is>
      </c>
      <c r="D214" s="23" t="inlineStr"/>
      <c r="E214" s="23" t="inlineStr"/>
      <c r="F214" s="23" t="inlineStr"/>
      <c r="G214" s="25" t="inlineStr">
        <is>
          <t>📍</t>
        </is>
      </c>
      <c r="H214" s="23" t="inlineStr"/>
      <c r="I214" s="23" t="inlineStr"/>
      <c r="J214" s="40" t="inlineStr">
        <is>
          <t>🔥 Без сайту</t>
        </is>
      </c>
      <c r="K214" s="37" t="inlineStr">
        <is>
          <t>❌</t>
        </is>
      </c>
      <c r="L214" s="27" t="inlineStr">
        <is>
          <t>❌</t>
        </is>
      </c>
      <c r="M214" s="38" t="inlineStr">
        <is>
          <t>🟢 A</t>
        </is>
      </c>
      <c r="N214" s="21" t="inlineStr"/>
      <c r="O214" s="21" t="inlineStr"/>
      <c r="P214" s="23" t="inlineStr">
        <is>
          <t>—</t>
        </is>
      </c>
      <c r="Q214" s="23" t="inlineStr"/>
      <c r="R214" s="28" t="n"/>
      <c r="S214" s="23" t="inlineStr"/>
      <c r="T214" s="19" t="inlineStr">
        <is>
          <t>🟡 Новий</t>
        </is>
      </c>
      <c r="U214" s="21" t="inlineStr"/>
      <c r="V214" s="28" t="n"/>
      <c r="W214" s="21" t="inlineStr"/>
    </row>
    <row r="215" ht="20" customHeight="1">
      <c r="A215" s="9" t="n">
        <v>213</v>
      </c>
      <c r="B215" s="10" t="inlineStr">
        <is>
          <t>coffee lab</t>
        </is>
      </c>
      <c r="C215" s="10" t="inlineStr">
        <is>
          <t>Львів</t>
        </is>
      </c>
      <c r="D215" s="11" t="inlineStr"/>
      <c r="E215" s="11" t="inlineStr"/>
      <c r="F215" s="11" t="inlineStr"/>
      <c r="G215" s="13" t="inlineStr">
        <is>
          <t>📍</t>
        </is>
      </c>
      <c r="H215" s="11" t="inlineStr"/>
      <c r="I215" s="11" t="inlineStr"/>
      <c r="J215" s="40" t="inlineStr">
        <is>
          <t>🔥 Без сайту</t>
        </is>
      </c>
      <c r="K215" s="39" t="inlineStr">
        <is>
          <t>❌</t>
        </is>
      </c>
      <c r="L215" s="16" t="inlineStr">
        <is>
          <t>❌</t>
        </is>
      </c>
      <c r="M215" s="38" t="inlineStr">
        <is>
          <t>🟢 A</t>
        </is>
      </c>
      <c r="N215" s="10" t="inlineStr"/>
      <c r="O215" s="10" t="inlineStr"/>
      <c r="P215" s="11" t="inlineStr">
        <is>
          <t>—</t>
        </is>
      </c>
      <c r="Q215" s="11" t="inlineStr"/>
      <c r="R215" s="18" t="n"/>
      <c r="S215" s="11" t="inlineStr"/>
      <c r="T215" s="19" t="inlineStr">
        <is>
          <t>🟡 Новий</t>
        </is>
      </c>
      <c r="U215" s="10" t="inlineStr"/>
      <c r="V215" s="18" t="n"/>
      <c r="W215" s="10" t="inlineStr"/>
    </row>
    <row r="216" ht="20" customHeight="1">
      <c r="A216" s="20" t="n">
        <v>214</v>
      </c>
      <c r="B216" s="21" t="inlineStr">
        <is>
          <t>coffeelab</t>
        </is>
      </c>
      <c r="C216" s="21" t="inlineStr">
        <is>
          <t>Львів</t>
        </is>
      </c>
      <c r="D216" s="23" t="inlineStr"/>
      <c r="E216" s="23" t="inlineStr"/>
      <c r="F216" s="23" t="inlineStr"/>
      <c r="G216" s="25" t="inlineStr">
        <is>
          <t>📍</t>
        </is>
      </c>
      <c r="H216" s="23" t="inlineStr"/>
      <c r="I216" s="23" t="inlineStr"/>
      <c r="J216" s="40" t="inlineStr">
        <is>
          <t>🔥 Без сайту</t>
        </is>
      </c>
      <c r="K216" s="37" t="inlineStr">
        <is>
          <t>❌</t>
        </is>
      </c>
      <c r="L216" s="27" t="inlineStr">
        <is>
          <t>❌</t>
        </is>
      </c>
      <c r="M216" s="38" t="inlineStr">
        <is>
          <t>🟢 A</t>
        </is>
      </c>
      <c r="N216" s="21" t="inlineStr"/>
      <c r="O216" s="21" t="inlineStr"/>
      <c r="P216" s="23" t="inlineStr">
        <is>
          <t>—</t>
        </is>
      </c>
      <c r="Q216" s="23" t="inlineStr"/>
      <c r="R216" s="28" t="n"/>
      <c r="S216" s="23" t="inlineStr"/>
      <c r="T216" s="19" t="inlineStr">
        <is>
          <t>🟡 Новий</t>
        </is>
      </c>
      <c r="U216" s="21" t="inlineStr"/>
      <c r="V216" s="28" t="n"/>
      <c r="W216" s="21" t="inlineStr"/>
    </row>
    <row r="217" ht="20" customHeight="1">
      <c r="A217" s="9" t="n">
        <v>215</v>
      </c>
      <c r="B217" s="10" t="inlineStr">
        <is>
          <t>golod bistro, бістро</t>
        </is>
      </c>
      <c r="C217" s="10" t="inlineStr">
        <is>
          <t>вул. Гайдамацька вулиця, 1-3, Львів</t>
        </is>
      </c>
      <c r="D217" s="11" t="inlineStr"/>
      <c r="E217" s="11" t="inlineStr"/>
      <c r="F217" s="11" t="inlineStr"/>
      <c r="G217" s="13" t="inlineStr">
        <is>
          <t>📍</t>
        </is>
      </c>
      <c r="H217" s="11" t="inlineStr"/>
      <c r="I217" s="11" t="inlineStr"/>
      <c r="J217" s="40" t="inlineStr">
        <is>
          <t>🔥 Без сайту</t>
        </is>
      </c>
      <c r="K217" s="39" t="inlineStr">
        <is>
          <t>❌</t>
        </is>
      </c>
      <c r="L217" s="16" t="inlineStr">
        <is>
          <t>❌</t>
        </is>
      </c>
      <c r="M217" s="38" t="inlineStr">
        <is>
          <t>🟢 A</t>
        </is>
      </c>
      <c r="N217" s="10" t="inlineStr"/>
      <c r="O217" s="10" t="inlineStr"/>
      <c r="P217" s="11" t="inlineStr">
        <is>
          <t>—</t>
        </is>
      </c>
      <c r="Q217" s="11" t="inlineStr"/>
      <c r="R217" s="18" t="n"/>
      <c r="S217" s="11" t="inlineStr"/>
      <c r="T217" s="19" t="inlineStr">
        <is>
          <t>🟡 Новий</t>
        </is>
      </c>
      <c r="U217" s="10" t="inlineStr"/>
      <c r="V217" s="18" t="n"/>
      <c r="W217" s="10" t="inlineStr"/>
    </row>
    <row r="218" ht="20" customHeight="1">
      <c r="A218" s="20" t="n">
        <v>216</v>
      </c>
      <c r="B218" s="21" t="inlineStr">
        <is>
          <t>Інтерактивне Cafe Papashon</t>
        </is>
      </c>
      <c r="C218" s="21" t="inlineStr">
        <is>
          <t>Львів</t>
        </is>
      </c>
      <c r="D218" s="23" t="inlineStr"/>
      <c r="E218" s="23" t="inlineStr"/>
      <c r="F218" s="23" t="inlineStr"/>
      <c r="G218" s="25" t="inlineStr">
        <is>
          <t>📍</t>
        </is>
      </c>
      <c r="H218" s="23" t="inlineStr"/>
      <c r="I218" s="23" t="inlineStr"/>
      <c r="J218" s="40" t="inlineStr">
        <is>
          <t>🔥 Без сайту</t>
        </is>
      </c>
      <c r="K218" s="37" t="inlineStr">
        <is>
          <t>❌</t>
        </is>
      </c>
      <c r="L218" s="27" t="inlineStr">
        <is>
          <t>❌</t>
        </is>
      </c>
      <c r="M218" s="38" t="inlineStr">
        <is>
          <t>🟢 A</t>
        </is>
      </c>
      <c r="N218" s="21" t="inlineStr"/>
      <c r="O218" s="21" t="inlineStr"/>
      <c r="P218" s="23" t="inlineStr">
        <is>
          <t>—</t>
        </is>
      </c>
      <c r="Q218" s="23" t="inlineStr"/>
      <c r="R218" s="28" t="n"/>
      <c r="S218" s="23" t="inlineStr"/>
      <c r="T218" s="19" t="inlineStr">
        <is>
          <t>🟡 Новий</t>
        </is>
      </c>
      <c r="U218" s="21" t="inlineStr"/>
      <c r="V218" s="28" t="n"/>
      <c r="W218" s="21" t="inlineStr"/>
    </row>
    <row r="219" ht="20" customHeight="1">
      <c r="A219" s="9" t="n">
        <v>217</v>
      </c>
      <c r="B219" s="10" t="inlineStr">
        <is>
          <t>Ірена</t>
        </is>
      </c>
      <c r="C219" s="10" t="inlineStr">
        <is>
          <t>Львів</t>
        </is>
      </c>
      <c r="D219" s="11" t="inlineStr"/>
      <c r="E219" s="11" t="inlineStr"/>
      <c r="F219" s="11" t="inlineStr"/>
      <c r="G219" s="13" t="inlineStr">
        <is>
          <t>📍</t>
        </is>
      </c>
      <c r="H219" s="11" t="inlineStr"/>
      <c r="I219" s="11" t="inlineStr"/>
      <c r="J219" s="40" t="inlineStr">
        <is>
          <t>🔥 Без сайту</t>
        </is>
      </c>
      <c r="K219" s="39" t="inlineStr">
        <is>
          <t>❌</t>
        </is>
      </c>
      <c r="L219" s="16" t="inlineStr">
        <is>
          <t>❌</t>
        </is>
      </c>
      <c r="M219" s="38" t="inlineStr">
        <is>
          <t>🟢 A</t>
        </is>
      </c>
      <c r="N219" s="10" t="inlineStr"/>
      <c r="O219" s="10" t="inlineStr"/>
      <c r="P219" s="11" t="inlineStr">
        <is>
          <t>—</t>
        </is>
      </c>
      <c r="Q219" s="11" t="inlineStr"/>
      <c r="R219" s="18" t="n"/>
      <c r="S219" s="11" t="inlineStr"/>
      <c r="T219" s="19" t="inlineStr">
        <is>
          <t>🟡 Новий</t>
        </is>
      </c>
      <c r="U219" s="10" t="inlineStr"/>
      <c r="V219" s="18" t="n"/>
      <c r="W219" s="10" t="inlineStr"/>
    </row>
    <row r="220" ht="20" customHeight="1">
      <c r="A220" s="20" t="n">
        <v>218</v>
      </c>
      <c r="B220" s="21" t="inlineStr">
        <is>
          <t>Італійський куточок</t>
        </is>
      </c>
      <c r="C220" s="21" t="inlineStr">
        <is>
          <t>Львів</t>
        </is>
      </c>
      <c r="D220" s="23" t="inlineStr"/>
      <c r="E220" s="23" t="inlineStr"/>
      <c r="F220" s="23" t="inlineStr"/>
      <c r="G220" s="25" t="inlineStr">
        <is>
          <t>📍</t>
        </is>
      </c>
      <c r="H220" s="23" t="inlineStr"/>
      <c r="I220" s="23" t="inlineStr"/>
      <c r="J220" s="40" t="inlineStr">
        <is>
          <t>🔥 Без сайту</t>
        </is>
      </c>
      <c r="K220" s="37" t="inlineStr">
        <is>
          <t>❌</t>
        </is>
      </c>
      <c r="L220" s="27" t="inlineStr">
        <is>
          <t>❌</t>
        </is>
      </c>
      <c r="M220" s="38" t="inlineStr">
        <is>
          <t>🟢 A</t>
        </is>
      </c>
      <c r="N220" s="21" t="inlineStr"/>
      <c r="O220" s="21" t="inlineStr"/>
      <c r="P220" s="23" t="inlineStr">
        <is>
          <t>—</t>
        </is>
      </c>
      <c r="Q220" s="23" t="inlineStr"/>
      <c r="R220" s="28" t="n"/>
      <c r="S220" s="23" t="inlineStr"/>
      <c r="T220" s="19" t="inlineStr">
        <is>
          <t>🟡 Новий</t>
        </is>
      </c>
      <c r="U220" s="21" t="inlineStr"/>
      <c r="V220" s="28" t="n"/>
      <c r="W220" s="21" t="inlineStr"/>
    </row>
    <row r="221" ht="20" customHeight="1">
      <c r="A221" s="9" t="n">
        <v>219</v>
      </c>
      <c r="B221" s="10" t="inlineStr">
        <is>
          <t>Їдальня</t>
        </is>
      </c>
      <c r="C221" s="10" t="inlineStr">
        <is>
          <t>Львів</t>
        </is>
      </c>
      <c r="D221" s="11" t="inlineStr"/>
      <c r="E221" s="11" t="inlineStr"/>
      <c r="F221" s="11" t="inlineStr"/>
      <c r="G221" s="13" t="inlineStr">
        <is>
          <t>📍</t>
        </is>
      </c>
      <c r="H221" s="11" t="inlineStr"/>
      <c r="I221" s="11" t="inlineStr"/>
      <c r="J221" s="40" t="inlineStr">
        <is>
          <t>🔥 Без сайту</t>
        </is>
      </c>
      <c r="K221" s="39" t="inlineStr">
        <is>
          <t>❌</t>
        </is>
      </c>
      <c r="L221" s="16" t="inlineStr">
        <is>
          <t>❌</t>
        </is>
      </c>
      <c r="M221" s="38" t="inlineStr">
        <is>
          <t>🟢 A</t>
        </is>
      </c>
      <c r="N221" s="10" t="inlineStr"/>
      <c r="O221" s="10" t="inlineStr"/>
      <c r="P221" s="11" t="inlineStr">
        <is>
          <t>—</t>
        </is>
      </c>
      <c r="Q221" s="11" t="inlineStr"/>
      <c r="R221" s="18" t="n"/>
      <c r="S221" s="11" t="inlineStr"/>
      <c r="T221" s="19" t="inlineStr">
        <is>
          <t>🟡 Новий</t>
        </is>
      </c>
      <c r="U221" s="10" t="inlineStr"/>
      <c r="V221" s="18" t="n"/>
      <c r="W221" s="10" t="inlineStr"/>
    </row>
    <row r="222" ht="20" customHeight="1">
      <c r="A222" s="20" t="n">
        <v>220</v>
      </c>
      <c r="B222" s="21" t="inlineStr">
        <is>
          <t>Їдальня ВЧДЕ</t>
        </is>
      </c>
      <c r="C222" s="21" t="inlineStr">
        <is>
          <t>вул. вулиця Кузнярівка, Львів</t>
        </is>
      </c>
      <c r="D222" s="23" t="inlineStr"/>
      <c r="E222" s="23" t="inlineStr"/>
      <c r="F222" s="23" t="inlineStr"/>
      <c r="G222" s="25" t="inlineStr">
        <is>
          <t>📍</t>
        </is>
      </c>
      <c r="H222" s="23" t="inlineStr"/>
      <c r="I222" s="23" t="inlineStr"/>
      <c r="J222" s="40" t="inlineStr">
        <is>
          <t>🔥 Без сайту</t>
        </is>
      </c>
      <c r="K222" s="37" t="inlineStr">
        <is>
          <t>❌</t>
        </is>
      </c>
      <c r="L222" s="27" t="inlineStr">
        <is>
          <t>❌</t>
        </is>
      </c>
      <c r="M222" s="38" t="inlineStr">
        <is>
          <t>🟢 A</t>
        </is>
      </c>
      <c r="N222" s="21" t="inlineStr"/>
      <c r="O222" s="21" t="inlineStr"/>
      <c r="P222" s="23" t="inlineStr">
        <is>
          <t>—</t>
        </is>
      </c>
      <c r="Q222" s="23" t="inlineStr"/>
      <c r="R222" s="28" t="n"/>
      <c r="S222" s="23" t="inlineStr"/>
      <c r="T222" s="19" t="inlineStr">
        <is>
          <t>🟡 Новий</t>
        </is>
      </c>
      <c r="U222" s="21" t="inlineStr"/>
      <c r="V222" s="28" t="n"/>
      <c r="W222" s="21" t="inlineStr"/>
    </row>
    <row r="223" ht="20" customHeight="1">
      <c r="A223" s="9" t="n">
        <v>221</v>
      </c>
      <c r="B223" s="10" t="inlineStr">
        <is>
          <t>Їдальня ЛДУФК</t>
        </is>
      </c>
      <c r="C223" s="10" t="inlineStr">
        <is>
          <t>Львів</t>
        </is>
      </c>
      <c r="D223" s="11" t="inlineStr"/>
      <c r="E223" s="11" t="inlineStr"/>
      <c r="F223" s="11" t="inlineStr"/>
      <c r="G223" s="13" t="inlineStr">
        <is>
          <t>📍</t>
        </is>
      </c>
      <c r="H223" s="11" t="inlineStr"/>
      <c r="I223" s="11" t="inlineStr"/>
      <c r="J223" s="40" t="inlineStr">
        <is>
          <t>🔥 Без сайту</t>
        </is>
      </c>
      <c r="K223" s="39" t="inlineStr">
        <is>
          <t>❌</t>
        </is>
      </c>
      <c r="L223" s="16" t="inlineStr">
        <is>
          <t>❌</t>
        </is>
      </c>
      <c r="M223" s="38" t="inlineStr">
        <is>
          <t>🟢 A</t>
        </is>
      </c>
      <c r="N223" s="10" t="inlineStr"/>
      <c r="O223" s="10" t="inlineStr"/>
      <c r="P223" s="11" t="inlineStr">
        <is>
          <t>—</t>
        </is>
      </c>
      <c r="Q223" s="11" t="inlineStr"/>
      <c r="R223" s="18" t="n"/>
      <c r="S223" s="11" t="inlineStr"/>
      <c r="T223" s="19" t="inlineStr">
        <is>
          <t>🟡 Новий</t>
        </is>
      </c>
      <c r="U223" s="10" t="inlineStr"/>
      <c r="V223" s="18" t="n"/>
      <c r="W223" s="10" t="inlineStr"/>
    </row>
    <row r="224" ht="20" customHeight="1">
      <c r="A224" s="20" t="n">
        <v>222</v>
      </c>
      <c r="B224" s="21" t="inlineStr">
        <is>
          <t>Їдальня від медінституту</t>
        </is>
      </c>
      <c r="C224" s="21" t="inlineStr">
        <is>
          <t>Львів</t>
        </is>
      </c>
      <c r="D224" s="23" t="inlineStr"/>
      <c r="E224" s="23" t="inlineStr"/>
      <c r="F224" s="23" t="inlineStr"/>
      <c r="G224" s="25" t="inlineStr">
        <is>
          <t>📍</t>
        </is>
      </c>
      <c r="H224" s="23" t="inlineStr"/>
      <c r="I224" s="23" t="inlineStr"/>
      <c r="J224" s="40" t="inlineStr">
        <is>
          <t>🔥 Без сайту</t>
        </is>
      </c>
      <c r="K224" s="37" t="inlineStr">
        <is>
          <t>❌</t>
        </is>
      </c>
      <c r="L224" s="27" t="inlineStr">
        <is>
          <t>❌</t>
        </is>
      </c>
      <c r="M224" s="38" t="inlineStr">
        <is>
          <t>🟢 A</t>
        </is>
      </c>
      <c r="N224" s="21" t="inlineStr"/>
      <c r="O224" s="21" t="inlineStr"/>
      <c r="P224" s="23" t="inlineStr">
        <is>
          <t>—</t>
        </is>
      </c>
      <c r="Q224" s="23" t="inlineStr"/>
      <c r="R224" s="28" t="n"/>
      <c r="S224" s="23" t="inlineStr"/>
      <c r="T224" s="19" t="inlineStr">
        <is>
          <t>🟡 Новий</t>
        </is>
      </c>
      <c r="U224" s="21" t="inlineStr"/>
      <c r="V224" s="28" t="n"/>
      <c r="W224" s="21" t="inlineStr"/>
    </row>
    <row r="225" ht="20" customHeight="1">
      <c r="A225" s="9" t="n">
        <v>223</v>
      </c>
      <c r="B225" s="10" t="inlineStr">
        <is>
          <t>Альтернативна кава</t>
        </is>
      </c>
      <c r="C225" s="10" t="inlineStr">
        <is>
          <t>вул. вулиця Гетьмана Петра Дорошенка, 45, Львів</t>
        </is>
      </c>
      <c r="D225" s="11" t="inlineStr"/>
      <c r="E225" s="11" t="inlineStr"/>
      <c r="F225" s="11" t="inlineStr"/>
      <c r="G225" s="13" t="inlineStr">
        <is>
          <t>📍</t>
        </is>
      </c>
      <c r="H225" s="11" t="inlineStr"/>
      <c r="I225" s="11" t="inlineStr"/>
      <c r="J225" s="40" t="inlineStr">
        <is>
          <t>🔥 Без сайту</t>
        </is>
      </c>
      <c r="K225" s="39" t="inlineStr">
        <is>
          <t>❌</t>
        </is>
      </c>
      <c r="L225" s="16" t="inlineStr">
        <is>
          <t>❌</t>
        </is>
      </c>
      <c r="M225" s="38" t="inlineStr">
        <is>
          <t>🟢 A</t>
        </is>
      </c>
      <c r="N225" s="10" t="inlineStr"/>
      <c r="O225" s="10" t="inlineStr"/>
      <c r="P225" s="11" t="inlineStr">
        <is>
          <t>—</t>
        </is>
      </c>
      <c r="Q225" s="11" t="inlineStr"/>
      <c r="R225" s="18" t="n"/>
      <c r="S225" s="11" t="inlineStr"/>
      <c r="T225" s="19" t="inlineStr">
        <is>
          <t>🟡 Новий</t>
        </is>
      </c>
      <c r="U225" s="10" t="inlineStr"/>
      <c r="V225" s="18" t="n"/>
      <c r="W225" s="10" t="inlineStr"/>
    </row>
    <row r="226" ht="20" customHeight="1">
      <c r="A226" s="20" t="n">
        <v>224</v>
      </c>
      <c r="B226" s="21" t="inlineStr">
        <is>
          <t>Алі Баба</t>
        </is>
      </c>
      <c r="C226" s="21" t="inlineStr">
        <is>
          <t>Львів</t>
        </is>
      </c>
      <c r="D226" s="23" t="inlineStr"/>
      <c r="E226" s="23" t="inlineStr"/>
      <c r="F226" s="23" t="inlineStr"/>
      <c r="G226" s="25" t="inlineStr">
        <is>
          <t>📍</t>
        </is>
      </c>
      <c r="H226" s="23" t="inlineStr"/>
      <c r="I226" s="23" t="inlineStr"/>
      <c r="J226" s="40" t="inlineStr">
        <is>
          <t>🔥 Без сайту</t>
        </is>
      </c>
      <c r="K226" s="37" t="inlineStr">
        <is>
          <t>❌</t>
        </is>
      </c>
      <c r="L226" s="27" t="inlineStr">
        <is>
          <t>❌</t>
        </is>
      </c>
      <c r="M226" s="38" t="inlineStr">
        <is>
          <t>🟢 A</t>
        </is>
      </c>
      <c r="N226" s="21" t="inlineStr"/>
      <c r="O226" s="21" t="inlineStr"/>
      <c r="P226" s="23" t="inlineStr">
        <is>
          <t>—</t>
        </is>
      </c>
      <c r="Q226" s="23" t="inlineStr"/>
      <c r="R226" s="28" t="n"/>
      <c r="S226" s="23" t="inlineStr"/>
      <c r="T226" s="19" t="inlineStr">
        <is>
          <t>🟡 Новий</t>
        </is>
      </c>
      <c r="U226" s="21" t="inlineStr"/>
      <c r="V226" s="28" t="n"/>
      <c r="W226" s="21" t="inlineStr"/>
    </row>
    <row r="227" ht="20" customHeight="1">
      <c r="A227" s="9" t="n">
        <v>225</v>
      </c>
      <c r="B227" s="10" t="inlineStr">
        <is>
          <t>Амфора</t>
        </is>
      </c>
      <c r="C227" s="10" t="inlineStr">
        <is>
          <t>Львів</t>
        </is>
      </c>
      <c r="D227" s="11" t="inlineStr"/>
      <c r="E227" s="11" t="inlineStr"/>
      <c r="F227" s="11" t="inlineStr"/>
      <c r="G227" s="13" t="inlineStr">
        <is>
          <t>📍</t>
        </is>
      </c>
      <c r="H227" s="11" t="inlineStr"/>
      <c r="I227" s="11" t="inlineStr"/>
      <c r="J227" s="40" t="inlineStr">
        <is>
          <t>🔥 Без сайту</t>
        </is>
      </c>
      <c r="K227" s="39" t="inlineStr">
        <is>
          <t>❌</t>
        </is>
      </c>
      <c r="L227" s="16" t="inlineStr">
        <is>
          <t>❌</t>
        </is>
      </c>
      <c r="M227" s="38" t="inlineStr">
        <is>
          <t>🟢 A</t>
        </is>
      </c>
      <c r="N227" s="10" t="inlineStr"/>
      <c r="O227" s="10" t="inlineStr"/>
      <c r="P227" s="11" t="inlineStr">
        <is>
          <t>—</t>
        </is>
      </c>
      <c r="Q227" s="11" t="inlineStr"/>
      <c r="R227" s="18" t="n"/>
      <c r="S227" s="11" t="inlineStr"/>
      <c r="T227" s="19" t="inlineStr">
        <is>
          <t>🟡 Новий</t>
        </is>
      </c>
      <c r="U227" s="10" t="inlineStr"/>
      <c r="V227" s="18" t="n"/>
      <c r="W227" s="10" t="inlineStr"/>
    </row>
    <row r="228" ht="20" customHeight="1">
      <c r="A228" s="20" t="n">
        <v>226</v>
      </c>
      <c r="B228" s="21" t="inlineStr">
        <is>
          <t>Анастасія</t>
        </is>
      </c>
      <c r="C228" s="21" t="inlineStr">
        <is>
          <t>вул. Інструментальна вулиця, 10, Львів</t>
        </is>
      </c>
      <c r="D228" s="23" t="inlineStr"/>
      <c r="E228" s="23" t="inlineStr"/>
      <c r="F228" s="23" t="inlineStr"/>
      <c r="G228" s="25" t="inlineStr">
        <is>
          <t>📍</t>
        </is>
      </c>
      <c r="H228" s="23" t="inlineStr"/>
      <c r="I228" s="23" t="inlineStr"/>
      <c r="J228" s="40" t="inlineStr">
        <is>
          <t>🔥 Без сайту</t>
        </is>
      </c>
      <c r="K228" s="37" t="inlineStr">
        <is>
          <t>❌</t>
        </is>
      </c>
      <c r="L228" s="27" t="inlineStr">
        <is>
          <t>❌</t>
        </is>
      </c>
      <c r="M228" s="38" t="inlineStr">
        <is>
          <t>🟢 A</t>
        </is>
      </c>
      <c r="N228" s="21" t="inlineStr"/>
      <c r="O228" s="21" t="inlineStr"/>
      <c r="P228" s="23" t="inlineStr">
        <is>
          <t>—</t>
        </is>
      </c>
      <c r="Q228" s="23" t="inlineStr"/>
      <c r="R228" s="28" t="n"/>
      <c r="S228" s="23" t="inlineStr"/>
      <c r="T228" s="19" t="inlineStr">
        <is>
          <t>🟡 Новий</t>
        </is>
      </c>
      <c r="U228" s="21" t="inlineStr"/>
      <c r="V228" s="28" t="n"/>
      <c r="W228" s="21" t="inlineStr"/>
    </row>
    <row r="229" ht="20" customHeight="1">
      <c r="A229" s="9" t="n">
        <v>227</v>
      </c>
      <c r="B229" s="10" t="inlineStr">
        <is>
          <t>Ангар</t>
        </is>
      </c>
      <c r="C229" s="10" t="inlineStr">
        <is>
          <t>Львів</t>
        </is>
      </c>
      <c r="D229" s="11" t="inlineStr"/>
      <c r="E229" s="11" t="inlineStr"/>
      <c r="F229" s="11" t="inlineStr"/>
      <c r="G229" s="13" t="inlineStr">
        <is>
          <t>📍</t>
        </is>
      </c>
      <c r="H229" s="11" t="inlineStr"/>
      <c r="I229" s="11" t="inlineStr"/>
      <c r="J229" s="40" t="inlineStr">
        <is>
          <t>🔥 Без сайту</t>
        </is>
      </c>
      <c r="K229" s="39" t="inlineStr">
        <is>
          <t>❌</t>
        </is>
      </c>
      <c r="L229" s="16" t="inlineStr">
        <is>
          <t>❌</t>
        </is>
      </c>
      <c r="M229" s="38" t="inlineStr">
        <is>
          <t>🟢 A</t>
        </is>
      </c>
      <c r="N229" s="10" t="inlineStr"/>
      <c r="O229" s="10" t="inlineStr"/>
      <c r="P229" s="11" t="inlineStr">
        <is>
          <t>—</t>
        </is>
      </c>
      <c r="Q229" s="11" t="inlineStr"/>
      <c r="R229" s="18" t="n"/>
      <c r="S229" s="11" t="inlineStr"/>
      <c r="T229" s="19" t="inlineStr">
        <is>
          <t>🟡 Новий</t>
        </is>
      </c>
      <c r="U229" s="10" t="inlineStr"/>
      <c r="V229" s="18" t="n"/>
      <c r="W229" s="10" t="inlineStr"/>
    </row>
    <row r="230" ht="20" customHeight="1">
      <c r="A230" s="20" t="n">
        <v>228</v>
      </c>
      <c r="B230" s="21" t="inlineStr">
        <is>
          <t>Анна-Катерина</t>
        </is>
      </c>
      <c r="C230" s="21" t="inlineStr">
        <is>
          <t>вул. Стрийська вулиця, 98, Львів</t>
        </is>
      </c>
      <c r="D230" s="23" t="inlineStr"/>
      <c r="E230" s="23" t="inlineStr"/>
      <c r="F230" s="23" t="inlineStr"/>
      <c r="G230" s="25" t="inlineStr">
        <is>
          <t>📍</t>
        </is>
      </c>
      <c r="H230" s="23" t="inlineStr"/>
      <c r="I230" s="23" t="inlineStr"/>
      <c r="J230" s="40" t="inlineStr">
        <is>
          <t>🔥 Без сайту</t>
        </is>
      </c>
      <c r="K230" s="37" t="inlineStr">
        <is>
          <t>❌</t>
        </is>
      </c>
      <c r="L230" s="27" t="inlineStr">
        <is>
          <t>❌</t>
        </is>
      </c>
      <c r="M230" s="38" t="inlineStr">
        <is>
          <t>🟢 A</t>
        </is>
      </c>
      <c r="N230" s="21" t="inlineStr"/>
      <c r="O230" s="21" t="inlineStr"/>
      <c r="P230" s="23" t="inlineStr">
        <is>
          <t>—</t>
        </is>
      </c>
      <c r="Q230" s="23" t="inlineStr"/>
      <c r="R230" s="28" t="n"/>
      <c r="S230" s="23" t="inlineStr"/>
      <c r="T230" s="19" t="inlineStr">
        <is>
          <t>🟡 Новий</t>
        </is>
      </c>
      <c r="U230" s="21" t="inlineStr"/>
      <c r="V230" s="28" t="n"/>
      <c r="W230" s="21" t="inlineStr"/>
    </row>
    <row r="231" ht="20" customHeight="1">
      <c r="A231" s="9" t="n">
        <v>229</v>
      </c>
      <c r="B231" s="10" t="inlineStr">
        <is>
          <t>Арома Кава</t>
        </is>
      </c>
      <c r="C231" s="10" t="inlineStr">
        <is>
          <t>вул. проспект Червоної Калини, 61, Львів</t>
        </is>
      </c>
      <c r="D231" s="11" t="inlineStr"/>
      <c r="E231" s="11" t="inlineStr"/>
      <c r="F231" s="11" t="inlineStr"/>
      <c r="G231" s="13" t="inlineStr">
        <is>
          <t>📍</t>
        </is>
      </c>
      <c r="H231" s="11" t="inlineStr"/>
      <c r="I231" s="11" t="inlineStr"/>
      <c r="J231" s="40" t="inlineStr">
        <is>
          <t>🔥 Без сайту</t>
        </is>
      </c>
      <c r="K231" s="39" t="inlineStr">
        <is>
          <t>❌</t>
        </is>
      </c>
      <c r="L231" s="16" t="inlineStr">
        <is>
          <t>❌</t>
        </is>
      </c>
      <c r="M231" s="38" t="inlineStr">
        <is>
          <t>🟢 A</t>
        </is>
      </c>
      <c r="N231" s="10" t="inlineStr"/>
      <c r="O231" s="10" t="inlineStr"/>
      <c r="P231" s="11" t="inlineStr">
        <is>
          <t>—</t>
        </is>
      </c>
      <c r="Q231" s="11" t="inlineStr"/>
      <c r="R231" s="18" t="n"/>
      <c r="S231" s="11" t="inlineStr"/>
      <c r="T231" s="19" t="inlineStr">
        <is>
          <t>🟡 Новий</t>
        </is>
      </c>
      <c r="U231" s="10" t="inlineStr"/>
      <c r="V231" s="18" t="n"/>
      <c r="W231" s="10" t="inlineStr"/>
    </row>
    <row r="232" ht="20" customHeight="1">
      <c r="A232" s="20" t="n">
        <v>230</v>
      </c>
      <c r="B232" s="21" t="inlineStr">
        <is>
          <t>Ашан-кафе</t>
        </is>
      </c>
      <c r="C232" s="21" t="inlineStr">
        <is>
          <t>Львів</t>
        </is>
      </c>
      <c r="D232" s="23" t="inlineStr"/>
      <c r="E232" s="23" t="inlineStr"/>
      <c r="F232" s="23" t="inlineStr"/>
      <c r="G232" s="25" t="inlineStr">
        <is>
          <t>📍</t>
        </is>
      </c>
      <c r="H232" s="23" t="inlineStr"/>
      <c r="I232" s="23" t="inlineStr"/>
      <c r="J232" s="40" t="inlineStr">
        <is>
          <t>🔥 Без сайту</t>
        </is>
      </c>
      <c r="K232" s="37" t="inlineStr">
        <is>
          <t>❌</t>
        </is>
      </c>
      <c r="L232" s="27" t="inlineStr">
        <is>
          <t>❌</t>
        </is>
      </c>
      <c r="M232" s="38" t="inlineStr">
        <is>
          <t>🟢 A</t>
        </is>
      </c>
      <c r="N232" s="21" t="inlineStr"/>
      <c r="O232" s="21" t="inlineStr"/>
      <c r="P232" s="23" t="inlineStr">
        <is>
          <t>—</t>
        </is>
      </c>
      <c r="Q232" s="23" t="inlineStr"/>
      <c r="R232" s="28" t="n"/>
      <c r="S232" s="23" t="inlineStr"/>
      <c r="T232" s="19" t="inlineStr">
        <is>
          <t>🟡 Новий</t>
        </is>
      </c>
      <c r="U232" s="21" t="inlineStr"/>
      <c r="V232" s="28" t="n"/>
      <c r="W232" s="21" t="inlineStr"/>
    </row>
    <row r="233" ht="20" customHeight="1">
      <c r="A233" s="9" t="n">
        <v>231</v>
      </c>
      <c r="B233" s="10" t="inlineStr">
        <is>
          <t>Бамбула</t>
        </is>
      </c>
      <c r="C233" s="10" t="inlineStr">
        <is>
          <t>Львів</t>
        </is>
      </c>
      <c r="D233" s="11" t="inlineStr"/>
      <c r="E233" s="11" t="inlineStr"/>
      <c r="F233" s="11" t="inlineStr"/>
      <c r="G233" s="13" t="inlineStr">
        <is>
          <t>📍</t>
        </is>
      </c>
      <c r="H233" s="11" t="inlineStr"/>
      <c r="I233" s="11" t="inlineStr"/>
      <c r="J233" s="40" t="inlineStr">
        <is>
          <t>🔥 Без сайту</t>
        </is>
      </c>
      <c r="K233" s="39" t="inlineStr">
        <is>
          <t>❌</t>
        </is>
      </c>
      <c r="L233" s="16" t="inlineStr">
        <is>
          <t>❌</t>
        </is>
      </c>
      <c r="M233" s="38" t="inlineStr">
        <is>
          <t>🟢 A</t>
        </is>
      </c>
      <c r="N233" s="10" t="inlineStr"/>
      <c r="O233" s="10" t="inlineStr"/>
      <c r="P233" s="11" t="inlineStr">
        <is>
          <t>—</t>
        </is>
      </c>
      <c r="Q233" s="11" t="inlineStr"/>
      <c r="R233" s="18" t="n"/>
      <c r="S233" s="11" t="inlineStr"/>
      <c r="T233" s="19" t="inlineStr">
        <is>
          <t>🟡 Новий</t>
        </is>
      </c>
      <c r="U233" s="10" t="inlineStr"/>
      <c r="V233" s="18" t="n"/>
      <c r="W233" s="10" t="inlineStr"/>
    </row>
    <row r="234" ht="20" customHeight="1">
      <c r="A234" s="20" t="n">
        <v>232</v>
      </c>
      <c r="B234" s="21" t="inlineStr">
        <is>
          <t>Бар</t>
        </is>
      </c>
      <c r="C234" s="21" t="inlineStr">
        <is>
          <t>Львів</t>
        </is>
      </c>
      <c r="D234" s="23" t="inlineStr"/>
      <c r="E234" s="23" t="inlineStr"/>
      <c r="F234" s="23" t="inlineStr"/>
      <c r="G234" s="25" t="inlineStr">
        <is>
          <t>📍</t>
        </is>
      </c>
      <c r="H234" s="23" t="inlineStr"/>
      <c r="I234" s="23" t="inlineStr"/>
      <c r="J234" s="40" t="inlineStr">
        <is>
          <t>🔥 Без сайту</t>
        </is>
      </c>
      <c r="K234" s="37" t="inlineStr">
        <is>
          <t>❌</t>
        </is>
      </c>
      <c r="L234" s="27" t="inlineStr">
        <is>
          <t>❌</t>
        </is>
      </c>
      <c r="M234" s="38" t="inlineStr">
        <is>
          <t>🟢 A</t>
        </is>
      </c>
      <c r="N234" s="21" t="inlineStr"/>
      <c r="O234" s="21" t="inlineStr"/>
      <c r="P234" s="23" t="inlineStr">
        <is>
          <t>—</t>
        </is>
      </c>
      <c r="Q234" s="23" t="inlineStr"/>
      <c r="R234" s="28" t="n"/>
      <c r="S234" s="23" t="inlineStr"/>
      <c r="T234" s="19" t="inlineStr">
        <is>
          <t>🟡 Новий</t>
        </is>
      </c>
      <c r="U234" s="21" t="inlineStr"/>
      <c r="V234" s="28" t="n"/>
      <c r="W234" s="21" t="inlineStr"/>
    </row>
    <row r="235" ht="20" customHeight="1">
      <c r="A235" s="9" t="n">
        <v>233</v>
      </c>
      <c r="B235" s="10" t="inlineStr">
        <is>
          <t>Барон</t>
        </is>
      </c>
      <c r="C235" s="10" t="inlineStr">
        <is>
          <t>Львів</t>
        </is>
      </c>
      <c r="D235" s="11" t="inlineStr"/>
      <c r="E235" s="11" t="inlineStr"/>
      <c r="F235" s="11" t="inlineStr"/>
      <c r="G235" s="13" t="inlineStr">
        <is>
          <t>📍</t>
        </is>
      </c>
      <c r="H235" s="11" t="inlineStr"/>
      <c r="I235" s="11" t="inlineStr"/>
      <c r="J235" s="40" t="inlineStr">
        <is>
          <t>🔥 Без сайту</t>
        </is>
      </c>
      <c r="K235" s="39" t="inlineStr">
        <is>
          <t>❌</t>
        </is>
      </c>
      <c r="L235" s="16" t="inlineStr">
        <is>
          <t>❌</t>
        </is>
      </c>
      <c r="M235" s="38" t="inlineStr">
        <is>
          <t>🟢 A</t>
        </is>
      </c>
      <c r="N235" s="10" t="inlineStr"/>
      <c r="O235" s="10" t="inlineStr"/>
      <c r="P235" s="11" t="inlineStr">
        <is>
          <t>—</t>
        </is>
      </c>
      <c r="Q235" s="11" t="inlineStr"/>
      <c r="R235" s="18" t="n"/>
      <c r="S235" s="11" t="inlineStr"/>
      <c r="T235" s="19" t="inlineStr">
        <is>
          <t>🟡 Новий</t>
        </is>
      </c>
      <c r="U235" s="10" t="inlineStr"/>
      <c r="V235" s="18" t="n"/>
      <c r="W235" s="10" t="inlineStr"/>
    </row>
    <row r="236" ht="20" customHeight="1">
      <c r="A236" s="20" t="n">
        <v>234</v>
      </c>
      <c r="B236" s="21" t="inlineStr">
        <is>
          <t>Бахчисарай</t>
        </is>
      </c>
      <c r="C236" s="21" t="inlineStr">
        <is>
          <t>Львів</t>
        </is>
      </c>
      <c r="D236" s="23" t="inlineStr"/>
      <c r="E236" s="23" t="inlineStr"/>
      <c r="F236" s="23" t="inlineStr"/>
      <c r="G236" s="25" t="inlineStr">
        <is>
          <t>📍</t>
        </is>
      </c>
      <c r="H236" s="23" t="inlineStr"/>
      <c r="I236" s="23" t="inlineStr"/>
      <c r="J236" s="40" t="inlineStr">
        <is>
          <t>🔥 Без сайту</t>
        </is>
      </c>
      <c r="K236" s="37" t="inlineStr">
        <is>
          <t>❌</t>
        </is>
      </c>
      <c r="L236" s="27" t="inlineStr">
        <is>
          <t>❌</t>
        </is>
      </c>
      <c r="M236" s="38" t="inlineStr">
        <is>
          <t>🟢 A</t>
        </is>
      </c>
      <c r="N236" s="21" t="inlineStr"/>
      <c r="O236" s="21" t="inlineStr"/>
      <c r="P236" s="23" t="inlineStr">
        <is>
          <t>—</t>
        </is>
      </c>
      <c r="Q236" s="23" t="inlineStr"/>
      <c r="R236" s="28" t="n"/>
      <c r="S236" s="23" t="inlineStr"/>
      <c r="T236" s="19" t="inlineStr">
        <is>
          <t>🟡 Новий</t>
        </is>
      </c>
      <c r="U236" s="21" t="inlineStr"/>
      <c r="V236" s="28" t="n"/>
      <c r="W236" s="21" t="inlineStr"/>
    </row>
    <row r="237" ht="20" customHeight="1">
      <c r="A237" s="9" t="n">
        <v>235</v>
      </c>
      <c r="B237" s="10" t="inlineStr">
        <is>
          <t>Братванка</t>
        </is>
      </c>
      <c r="C237" s="10" t="inlineStr">
        <is>
          <t>Львів</t>
        </is>
      </c>
      <c r="D237" s="11" t="inlineStr"/>
      <c r="E237" s="11" t="inlineStr"/>
      <c r="F237" s="11" t="inlineStr"/>
      <c r="G237" s="13" t="inlineStr">
        <is>
          <t>📍</t>
        </is>
      </c>
      <c r="H237" s="11" t="inlineStr"/>
      <c r="I237" s="11" t="inlineStr"/>
      <c r="J237" s="40" t="inlineStr">
        <is>
          <t>🔥 Без сайту</t>
        </is>
      </c>
      <c r="K237" s="39" t="inlineStr">
        <is>
          <t>❌</t>
        </is>
      </c>
      <c r="L237" s="16" t="inlineStr">
        <is>
          <t>❌</t>
        </is>
      </c>
      <c r="M237" s="38" t="inlineStr">
        <is>
          <t>🟢 A</t>
        </is>
      </c>
      <c r="N237" s="10" t="inlineStr"/>
      <c r="O237" s="10" t="inlineStr"/>
      <c r="P237" s="11" t="inlineStr">
        <is>
          <t>—</t>
        </is>
      </c>
      <c r="Q237" s="11" t="inlineStr"/>
      <c r="R237" s="18" t="n"/>
      <c r="S237" s="11" t="inlineStr"/>
      <c r="T237" s="19" t="inlineStr">
        <is>
          <t>🟡 Новий</t>
        </is>
      </c>
      <c r="U237" s="10" t="inlineStr"/>
      <c r="V237" s="18" t="n"/>
      <c r="W237" s="10" t="inlineStr"/>
    </row>
    <row r="238" ht="20" customHeight="1">
      <c r="A238" s="20" t="n">
        <v>236</v>
      </c>
      <c r="B238" s="21" t="inlineStr">
        <is>
          <t>Будзіні</t>
        </is>
      </c>
      <c r="C238" s="21" t="inlineStr">
        <is>
          <t>вул. проспект Свободи, 31, Львів</t>
        </is>
      </c>
      <c r="D238" s="23" t="inlineStr"/>
      <c r="E238" s="23" t="inlineStr"/>
      <c r="F238" s="23" t="inlineStr"/>
      <c r="G238" s="25" t="inlineStr">
        <is>
          <t>📍</t>
        </is>
      </c>
      <c r="H238" s="23" t="inlineStr"/>
      <c r="I238" s="23" t="inlineStr"/>
      <c r="J238" s="40" t="inlineStr">
        <is>
          <t>🔥 Без сайту</t>
        </is>
      </c>
      <c r="K238" s="37" t="inlineStr">
        <is>
          <t>❌</t>
        </is>
      </c>
      <c r="L238" s="27" t="inlineStr">
        <is>
          <t>❌</t>
        </is>
      </c>
      <c r="M238" s="38" t="inlineStr">
        <is>
          <t>🟢 A</t>
        </is>
      </c>
      <c r="N238" s="21" t="inlineStr"/>
      <c r="O238" s="21" t="inlineStr"/>
      <c r="P238" s="23" t="inlineStr">
        <is>
          <t>—</t>
        </is>
      </c>
      <c r="Q238" s="23" t="inlineStr"/>
      <c r="R238" s="28" t="n"/>
      <c r="S238" s="23" t="inlineStr"/>
      <c r="T238" s="19" t="inlineStr">
        <is>
          <t>🟡 Новий</t>
        </is>
      </c>
      <c r="U238" s="21" t="inlineStr"/>
      <c r="V238" s="28" t="n"/>
      <c r="W238" s="21" t="inlineStr"/>
    </row>
    <row r="239" ht="20" customHeight="1">
      <c r="A239" s="9" t="n">
        <v>237</v>
      </c>
      <c r="B239" s="10" t="inlineStr">
        <is>
          <t>Бурек</t>
        </is>
      </c>
      <c r="C239" s="10" t="inlineStr">
        <is>
          <t>Львів</t>
        </is>
      </c>
      <c r="D239" s="11" t="inlineStr"/>
      <c r="E239" s="11" t="inlineStr"/>
      <c r="F239" s="11" t="inlineStr"/>
      <c r="G239" s="13" t="inlineStr">
        <is>
          <t>📍</t>
        </is>
      </c>
      <c r="H239" s="11" t="inlineStr"/>
      <c r="I239" s="11" t="inlineStr"/>
      <c r="J239" s="40" t="inlineStr">
        <is>
          <t>🔥 Без сайту</t>
        </is>
      </c>
      <c r="K239" s="39" t="inlineStr">
        <is>
          <t>❌</t>
        </is>
      </c>
      <c r="L239" s="16" t="inlineStr">
        <is>
          <t>❌</t>
        </is>
      </c>
      <c r="M239" s="38" t="inlineStr">
        <is>
          <t>🟢 A</t>
        </is>
      </c>
      <c r="N239" s="10" t="inlineStr"/>
      <c r="O239" s="10" t="inlineStr"/>
      <c r="P239" s="11" t="inlineStr">
        <is>
          <t>—</t>
        </is>
      </c>
      <c r="Q239" s="11" t="inlineStr"/>
      <c r="R239" s="18" t="n"/>
      <c r="S239" s="11" t="inlineStr"/>
      <c r="T239" s="19" t="inlineStr">
        <is>
          <t>🟡 Новий</t>
        </is>
      </c>
      <c r="U239" s="10" t="inlineStr"/>
      <c r="V239" s="18" t="n"/>
      <c r="W239" s="10" t="inlineStr"/>
    </row>
    <row r="240" ht="20" customHeight="1">
      <c r="A240" s="20" t="n">
        <v>238</v>
      </c>
      <c r="B240" s="21" t="inlineStr">
        <is>
          <t>Бурячок</t>
        </is>
      </c>
      <c r="C240" s="21" t="inlineStr">
        <is>
          <t>Львів</t>
        </is>
      </c>
      <c r="D240" s="23" t="inlineStr"/>
      <c r="E240" s="23" t="inlineStr"/>
      <c r="F240" s="23" t="inlineStr"/>
      <c r="G240" s="25" t="inlineStr">
        <is>
          <t>📍</t>
        </is>
      </c>
      <c r="H240" s="23" t="inlineStr"/>
      <c r="I240" s="23" t="inlineStr"/>
      <c r="J240" s="40" t="inlineStr">
        <is>
          <t>🔥 Без сайту</t>
        </is>
      </c>
      <c r="K240" s="37" t="inlineStr">
        <is>
          <t>❌</t>
        </is>
      </c>
      <c r="L240" s="27" t="inlineStr">
        <is>
          <t>❌</t>
        </is>
      </c>
      <c r="M240" s="38" t="inlineStr">
        <is>
          <t>🟢 A</t>
        </is>
      </c>
      <c r="N240" s="21" t="inlineStr"/>
      <c r="O240" s="21" t="inlineStr"/>
      <c r="P240" s="23" t="inlineStr">
        <is>
          <t>—</t>
        </is>
      </c>
      <c r="Q240" s="23" t="inlineStr"/>
      <c r="R240" s="28" t="n"/>
      <c r="S240" s="23" t="inlineStr"/>
      <c r="T240" s="19" t="inlineStr">
        <is>
          <t>🟡 Новий</t>
        </is>
      </c>
      <c r="U240" s="21" t="inlineStr"/>
      <c r="V240" s="28" t="n"/>
      <c r="W240" s="21" t="inlineStr"/>
    </row>
    <row r="241" ht="20" customHeight="1">
      <c r="A241" s="9" t="n">
        <v>239</v>
      </c>
      <c r="B241" s="10" t="inlineStr">
        <is>
          <t>Бусік</t>
        </is>
      </c>
      <c r="C241" s="10" t="inlineStr">
        <is>
          <t>вул. вулиця Софії Яблонської, 31, Львів</t>
        </is>
      </c>
      <c r="D241" s="33" t="inlineStr">
        <is>
          <t>+380991332757</t>
        </is>
      </c>
      <c r="E241" s="11" t="inlineStr"/>
      <c r="F241" s="11" t="inlineStr"/>
      <c r="G241" s="13" t="inlineStr">
        <is>
          <t>📍</t>
        </is>
      </c>
      <c r="H241" s="11" t="inlineStr"/>
      <c r="I241" s="11" t="inlineStr"/>
      <c r="J241" s="40" t="inlineStr">
        <is>
          <t>🔥 Без сайту</t>
        </is>
      </c>
      <c r="K241" s="39" t="inlineStr">
        <is>
          <t>❌</t>
        </is>
      </c>
      <c r="L241" s="16" t="inlineStr">
        <is>
          <t>❌</t>
        </is>
      </c>
      <c r="M241" s="38" t="inlineStr">
        <is>
          <t>🟢 A</t>
        </is>
      </c>
      <c r="N241" s="10" t="inlineStr"/>
      <c r="O241" s="10" t="inlineStr"/>
      <c r="P241" s="11" t="inlineStr">
        <is>
          <t>—</t>
        </is>
      </c>
      <c r="Q241" s="11" t="inlineStr"/>
      <c r="R241" s="18" t="n"/>
      <c r="S241" s="11" t="inlineStr"/>
      <c r="T241" s="19" t="inlineStr">
        <is>
          <t>🟡 Новий</t>
        </is>
      </c>
      <c r="U241" s="10" t="inlineStr"/>
      <c r="V241" s="18" t="n"/>
      <c r="W241" s="10" t="inlineStr"/>
    </row>
    <row r="242" ht="20" customHeight="1">
      <c r="A242" s="20" t="n">
        <v>240</v>
      </c>
      <c r="B242" s="21" t="inlineStr">
        <is>
          <t>Білий дім</t>
        </is>
      </c>
      <c r="C242" s="21" t="inlineStr">
        <is>
          <t>Львів</t>
        </is>
      </c>
      <c r="D242" s="23" t="inlineStr"/>
      <c r="E242" s="23" t="inlineStr"/>
      <c r="F242" s="23" t="inlineStr"/>
      <c r="G242" s="25" t="inlineStr">
        <is>
          <t>📍</t>
        </is>
      </c>
      <c r="H242" s="23" t="inlineStr"/>
      <c r="I242" s="23" t="inlineStr"/>
      <c r="J242" s="40" t="inlineStr">
        <is>
          <t>🔥 Без сайту</t>
        </is>
      </c>
      <c r="K242" s="37" t="inlineStr">
        <is>
          <t>❌</t>
        </is>
      </c>
      <c r="L242" s="27" t="inlineStr">
        <is>
          <t>❌</t>
        </is>
      </c>
      <c r="M242" s="38" t="inlineStr">
        <is>
          <t>🟢 A</t>
        </is>
      </c>
      <c r="N242" s="21" t="inlineStr"/>
      <c r="O242" s="21" t="inlineStr"/>
      <c r="P242" s="23" t="inlineStr">
        <is>
          <t>—</t>
        </is>
      </c>
      <c r="Q242" s="23" t="inlineStr"/>
      <c r="R242" s="28" t="n"/>
      <c r="S242" s="23" t="inlineStr"/>
      <c r="T242" s="19" t="inlineStr">
        <is>
          <t>🟡 Новий</t>
        </is>
      </c>
      <c r="U242" s="21" t="inlineStr"/>
      <c r="V242" s="28" t="n"/>
      <c r="W242" s="21" t="inlineStr"/>
    </row>
    <row r="243" ht="20" customHeight="1">
      <c r="A243" s="9" t="n">
        <v>241</v>
      </c>
      <c r="B243" s="10" t="inlineStr">
        <is>
          <t>Білий шум</t>
        </is>
      </c>
      <c r="C243" s="10" t="inlineStr">
        <is>
          <t>вул. вулиця Максима Залізняка, 24, Львів</t>
        </is>
      </c>
      <c r="D243" s="11" t="inlineStr"/>
      <c r="E243" s="11" t="inlineStr"/>
      <c r="F243" s="11" t="inlineStr"/>
      <c r="G243" s="13" t="inlineStr">
        <is>
          <t>📍</t>
        </is>
      </c>
      <c r="H243" s="11" t="inlineStr"/>
      <c r="I243" s="11" t="inlineStr"/>
      <c r="J243" s="40" t="inlineStr">
        <is>
          <t>🔥 Без сайту</t>
        </is>
      </c>
      <c r="K243" s="39" t="inlineStr">
        <is>
          <t>❌</t>
        </is>
      </c>
      <c r="L243" s="16" t="inlineStr">
        <is>
          <t>❌</t>
        </is>
      </c>
      <c r="M243" s="38" t="inlineStr">
        <is>
          <t>🟢 A</t>
        </is>
      </c>
      <c r="N243" s="10" t="inlineStr"/>
      <c r="O243" s="10" t="inlineStr"/>
      <c r="P243" s="11" t="inlineStr">
        <is>
          <t>—</t>
        </is>
      </c>
      <c r="Q243" s="11" t="inlineStr"/>
      <c r="R243" s="18" t="n"/>
      <c r="S243" s="11" t="inlineStr"/>
      <c r="T243" s="19" t="inlineStr">
        <is>
          <t>🟡 Новий</t>
        </is>
      </c>
      <c r="U243" s="10" t="inlineStr"/>
      <c r="V243" s="18" t="n"/>
      <c r="W243" s="10" t="inlineStr"/>
    </row>
    <row r="244" ht="20" customHeight="1">
      <c r="A244" s="20" t="n">
        <v>242</v>
      </c>
      <c r="B244" s="21" t="inlineStr">
        <is>
          <t>Біля Шпиталю</t>
        </is>
      </c>
      <c r="C244" s="21" t="inlineStr">
        <is>
          <t>Львів</t>
        </is>
      </c>
      <c r="D244" s="23" t="inlineStr"/>
      <c r="E244" s="23" t="inlineStr"/>
      <c r="F244" s="23" t="inlineStr"/>
      <c r="G244" s="25" t="inlineStr">
        <is>
          <t>📍</t>
        </is>
      </c>
      <c r="H244" s="23" t="inlineStr"/>
      <c r="I244" s="23" t="inlineStr"/>
      <c r="J244" s="40" t="inlineStr">
        <is>
          <t>🔥 Без сайту</t>
        </is>
      </c>
      <c r="K244" s="37" t="inlineStr">
        <is>
          <t>❌</t>
        </is>
      </c>
      <c r="L244" s="27" t="inlineStr">
        <is>
          <t>❌</t>
        </is>
      </c>
      <c r="M244" s="38" t="inlineStr">
        <is>
          <t>🟢 A</t>
        </is>
      </c>
      <c r="N244" s="21" t="inlineStr"/>
      <c r="O244" s="21" t="inlineStr"/>
      <c r="P244" s="23" t="inlineStr">
        <is>
          <t>—</t>
        </is>
      </c>
      <c r="Q244" s="23" t="inlineStr"/>
      <c r="R244" s="28" t="n"/>
      <c r="S244" s="23" t="inlineStr"/>
      <c r="T244" s="19" t="inlineStr">
        <is>
          <t>🟡 Новий</t>
        </is>
      </c>
      <c r="U244" s="21" t="inlineStr"/>
      <c r="V244" s="28" t="n"/>
      <c r="W244" s="21" t="inlineStr"/>
    </row>
    <row r="245" ht="20" customHeight="1">
      <c r="A245" s="9" t="n">
        <v>243</v>
      </c>
      <c r="B245" s="10" t="inlineStr">
        <is>
          <t>Бінс енд Грінс</t>
        </is>
      </c>
      <c r="C245" s="10" t="inlineStr">
        <is>
          <t>Львів</t>
        </is>
      </c>
      <c r="D245" s="11" t="inlineStr"/>
      <c r="E245" s="11" t="inlineStr"/>
      <c r="F245" s="11" t="inlineStr"/>
      <c r="G245" s="13" t="inlineStr">
        <is>
          <t>📍</t>
        </is>
      </c>
      <c r="H245" s="11" t="inlineStr"/>
      <c r="I245" s="11" t="inlineStr"/>
      <c r="J245" s="40" t="inlineStr">
        <is>
          <t>🔥 Без сайту</t>
        </is>
      </c>
      <c r="K245" s="39" t="inlineStr">
        <is>
          <t>❌</t>
        </is>
      </c>
      <c r="L245" s="16" t="inlineStr">
        <is>
          <t>❌</t>
        </is>
      </c>
      <c r="M245" s="38" t="inlineStr">
        <is>
          <t>🟢 A</t>
        </is>
      </c>
      <c r="N245" s="10" t="inlineStr"/>
      <c r="O245" s="10" t="inlineStr"/>
      <c r="P245" s="11" t="inlineStr">
        <is>
          <t>—</t>
        </is>
      </c>
      <c r="Q245" s="11" t="inlineStr"/>
      <c r="R245" s="18" t="n"/>
      <c r="S245" s="11" t="inlineStr"/>
      <c r="T245" s="19" t="inlineStr">
        <is>
          <t>🟡 Новий</t>
        </is>
      </c>
      <c r="U245" s="10" t="inlineStr"/>
      <c r="V245" s="18" t="n"/>
      <c r="W245" s="10" t="inlineStr"/>
    </row>
    <row r="246" ht="20" customHeight="1">
      <c r="A246" s="20" t="n">
        <v>244</v>
      </c>
      <c r="B246" s="21" t="inlineStr">
        <is>
          <t>Бістро</t>
        </is>
      </c>
      <c r="C246" s="21" t="inlineStr">
        <is>
          <t>Львів</t>
        </is>
      </c>
      <c r="D246" s="23" t="inlineStr"/>
      <c r="E246" s="23" t="inlineStr"/>
      <c r="F246" s="23" t="inlineStr"/>
      <c r="G246" s="25" t="inlineStr">
        <is>
          <t>📍</t>
        </is>
      </c>
      <c r="H246" s="23" t="inlineStr"/>
      <c r="I246" s="23" t="inlineStr"/>
      <c r="J246" s="40" t="inlineStr">
        <is>
          <t>🔥 Без сайту</t>
        </is>
      </c>
      <c r="K246" s="37" t="inlineStr">
        <is>
          <t>❌</t>
        </is>
      </c>
      <c r="L246" s="27" t="inlineStr">
        <is>
          <t>❌</t>
        </is>
      </c>
      <c r="M246" s="38" t="inlineStr">
        <is>
          <t>🟢 A</t>
        </is>
      </c>
      <c r="N246" s="21" t="inlineStr"/>
      <c r="O246" s="21" t="inlineStr"/>
      <c r="P246" s="23" t="inlineStr">
        <is>
          <t>—</t>
        </is>
      </c>
      <c r="Q246" s="23" t="inlineStr"/>
      <c r="R246" s="28" t="n"/>
      <c r="S246" s="23" t="inlineStr"/>
      <c r="T246" s="19" t="inlineStr">
        <is>
          <t>🟡 Новий</t>
        </is>
      </c>
      <c r="U246" s="21" t="inlineStr"/>
      <c r="V246" s="28" t="n"/>
      <c r="W246" s="21" t="inlineStr"/>
    </row>
    <row r="247" ht="20" customHeight="1">
      <c r="A247" s="9" t="n">
        <v>245</v>
      </c>
      <c r="B247" s="10" t="inlineStr">
        <is>
          <t>Бістро Золота підкова</t>
        </is>
      </c>
      <c r="C247" s="10" t="inlineStr">
        <is>
          <t>вул. Клепарівська вулиця, Львів</t>
        </is>
      </c>
      <c r="D247" s="11" t="inlineStr"/>
      <c r="E247" s="11" t="inlineStr"/>
      <c r="F247" s="11" t="inlineStr"/>
      <c r="G247" s="13" t="inlineStr">
        <is>
          <t>📍</t>
        </is>
      </c>
      <c r="H247" s="11" t="inlineStr"/>
      <c r="I247" s="11" t="inlineStr"/>
      <c r="J247" s="40" t="inlineStr">
        <is>
          <t>🔥 Без сайту</t>
        </is>
      </c>
      <c r="K247" s="39" t="inlineStr">
        <is>
          <t>❌</t>
        </is>
      </c>
      <c r="L247" s="16" t="inlineStr">
        <is>
          <t>❌</t>
        </is>
      </c>
      <c r="M247" s="38" t="inlineStr">
        <is>
          <t>🟢 A</t>
        </is>
      </c>
      <c r="N247" s="10" t="inlineStr"/>
      <c r="O247" s="10" t="inlineStr"/>
      <c r="P247" s="11" t="inlineStr">
        <is>
          <t>—</t>
        </is>
      </c>
      <c r="Q247" s="11" t="inlineStr"/>
      <c r="R247" s="18" t="n"/>
      <c r="S247" s="11" t="inlineStr"/>
      <c r="T247" s="19" t="inlineStr">
        <is>
          <t>🟡 Новий</t>
        </is>
      </c>
      <c r="U247" s="10" t="inlineStr"/>
      <c r="V247" s="18" t="n"/>
      <c r="W247" s="10" t="inlineStr"/>
    </row>
    <row r="248" ht="20" customHeight="1">
      <c r="A248" s="20" t="n">
        <v>246</v>
      </c>
      <c r="B248" s="21" t="inlineStr">
        <is>
          <t>Біґ Бурґер</t>
        </is>
      </c>
      <c r="C248" s="21" t="inlineStr">
        <is>
          <t>Львів</t>
        </is>
      </c>
      <c r="D248" s="23" t="inlineStr"/>
      <c r="E248" s="23" t="inlineStr"/>
      <c r="F248" s="23" t="inlineStr"/>
      <c r="G248" s="25" t="inlineStr">
        <is>
          <t>📍</t>
        </is>
      </c>
      <c r="H248" s="23" t="inlineStr"/>
      <c r="I248" s="23" t="inlineStr"/>
      <c r="J248" s="40" t="inlineStr">
        <is>
          <t>🔥 Без сайту</t>
        </is>
      </c>
      <c r="K248" s="37" t="inlineStr">
        <is>
          <t>❌</t>
        </is>
      </c>
      <c r="L248" s="27" t="inlineStr">
        <is>
          <t>❌</t>
        </is>
      </c>
      <c r="M248" s="38" t="inlineStr">
        <is>
          <t>🟢 A</t>
        </is>
      </c>
      <c r="N248" s="21" t="inlineStr"/>
      <c r="O248" s="21" t="inlineStr"/>
      <c r="P248" s="23" t="inlineStr">
        <is>
          <t>—</t>
        </is>
      </c>
      <c r="Q248" s="23" t="inlineStr"/>
      <c r="R248" s="28" t="n"/>
      <c r="S248" s="23" t="inlineStr"/>
      <c r="T248" s="19" t="inlineStr">
        <is>
          <t>🟡 Новий</t>
        </is>
      </c>
      <c r="U248" s="21" t="inlineStr"/>
      <c r="V248" s="28" t="n"/>
      <c r="W248" s="21" t="inlineStr"/>
    </row>
    <row r="249" ht="20" customHeight="1">
      <c r="A249" s="9" t="n">
        <v>247</v>
      </c>
      <c r="B249" s="10" t="inlineStr">
        <is>
          <t>Вандлер</t>
        </is>
      </c>
      <c r="C249" s="10" t="inlineStr">
        <is>
          <t>Львів</t>
        </is>
      </c>
      <c r="D249" s="11" t="inlineStr"/>
      <c r="E249" s="11" t="inlineStr"/>
      <c r="F249" s="11" t="inlineStr"/>
      <c r="G249" s="13" t="inlineStr">
        <is>
          <t>📍</t>
        </is>
      </c>
      <c r="H249" s="11" t="inlineStr"/>
      <c r="I249" s="11" t="inlineStr"/>
      <c r="J249" s="40" t="inlineStr">
        <is>
          <t>🔥 Без сайту</t>
        </is>
      </c>
      <c r="K249" s="39" t="inlineStr">
        <is>
          <t>❌</t>
        </is>
      </c>
      <c r="L249" s="16" t="inlineStr">
        <is>
          <t>❌</t>
        </is>
      </c>
      <c r="M249" s="38" t="inlineStr">
        <is>
          <t>🟢 A</t>
        </is>
      </c>
      <c r="N249" s="10" t="inlineStr"/>
      <c r="O249" s="10" t="inlineStr"/>
      <c r="P249" s="11" t="inlineStr">
        <is>
          <t>—</t>
        </is>
      </c>
      <c r="Q249" s="11" t="inlineStr"/>
      <c r="R249" s="18" t="n"/>
      <c r="S249" s="11" t="inlineStr"/>
      <c r="T249" s="19" t="inlineStr">
        <is>
          <t>🟡 Новий</t>
        </is>
      </c>
      <c r="U249" s="10" t="inlineStr"/>
      <c r="V249" s="18" t="n"/>
      <c r="W249" s="10" t="inlineStr"/>
    </row>
    <row r="250" ht="20" customHeight="1">
      <c r="A250" s="20" t="n">
        <v>248</v>
      </c>
      <c r="B250" s="21" t="inlineStr">
        <is>
          <t>Варенична</t>
        </is>
      </c>
      <c r="C250" s="21" t="inlineStr">
        <is>
          <t>Львів</t>
        </is>
      </c>
      <c r="D250" s="23" t="inlineStr"/>
      <c r="E250" s="23" t="inlineStr"/>
      <c r="F250" s="23" t="inlineStr"/>
      <c r="G250" s="25" t="inlineStr">
        <is>
          <t>📍</t>
        </is>
      </c>
      <c r="H250" s="23" t="inlineStr"/>
      <c r="I250" s="23" t="inlineStr"/>
      <c r="J250" s="40" t="inlineStr">
        <is>
          <t>🔥 Без сайту</t>
        </is>
      </c>
      <c r="K250" s="37" t="inlineStr">
        <is>
          <t>❌</t>
        </is>
      </c>
      <c r="L250" s="27" t="inlineStr">
        <is>
          <t>❌</t>
        </is>
      </c>
      <c r="M250" s="38" t="inlineStr">
        <is>
          <t>🟢 A</t>
        </is>
      </c>
      <c r="N250" s="21" t="inlineStr"/>
      <c r="O250" s="21" t="inlineStr"/>
      <c r="P250" s="23" t="inlineStr">
        <is>
          <t>—</t>
        </is>
      </c>
      <c r="Q250" s="23" t="inlineStr"/>
      <c r="R250" s="28" t="n"/>
      <c r="S250" s="23" t="inlineStr"/>
      <c r="T250" s="19" t="inlineStr">
        <is>
          <t>🟡 Новий</t>
        </is>
      </c>
      <c r="U250" s="21" t="inlineStr"/>
      <c r="V250" s="28" t="n"/>
      <c r="W250" s="21" t="inlineStr"/>
    </row>
    <row r="251" ht="20" customHeight="1">
      <c r="A251" s="9" t="n">
        <v>249</v>
      </c>
      <c r="B251" s="10" t="inlineStr">
        <is>
          <t>Ваукафе</t>
        </is>
      </c>
      <c r="C251" s="10" t="inlineStr">
        <is>
          <t>Львів</t>
        </is>
      </c>
      <c r="D251" s="11" t="inlineStr"/>
      <c r="E251" s="11" t="inlineStr"/>
      <c r="F251" s="11" t="inlineStr"/>
      <c r="G251" s="13" t="inlineStr">
        <is>
          <t>📍</t>
        </is>
      </c>
      <c r="H251" s="11" t="inlineStr"/>
      <c r="I251" s="11" t="inlineStr"/>
      <c r="J251" s="40" t="inlineStr">
        <is>
          <t>🔥 Без сайту</t>
        </is>
      </c>
      <c r="K251" s="39" t="inlineStr">
        <is>
          <t>❌</t>
        </is>
      </c>
      <c r="L251" s="16" t="inlineStr">
        <is>
          <t>❌</t>
        </is>
      </c>
      <c r="M251" s="38" t="inlineStr">
        <is>
          <t>🟢 A</t>
        </is>
      </c>
      <c r="N251" s="10" t="inlineStr"/>
      <c r="O251" s="10" t="inlineStr"/>
      <c r="P251" s="11" t="inlineStr">
        <is>
          <t>—</t>
        </is>
      </c>
      <c r="Q251" s="11" t="inlineStr"/>
      <c r="R251" s="18" t="n"/>
      <c r="S251" s="11" t="inlineStr"/>
      <c r="T251" s="19" t="inlineStr">
        <is>
          <t>🟡 Новий</t>
        </is>
      </c>
      <c r="U251" s="10" t="inlineStr"/>
      <c r="V251" s="18" t="n"/>
      <c r="W251" s="10" t="inlineStr"/>
    </row>
    <row r="252" ht="20" customHeight="1">
      <c r="A252" s="20" t="n">
        <v>250</v>
      </c>
      <c r="B252" s="21" t="inlineStr">
        <is>
          <t>Вероніка</t>
        </is>
      </c>
      <c r="C252" s="21" t="inlineStr">
        <is>
          <t>Львів</t>
        </is>
      </c>
      <c r="D252" s="23" t="inlineStr"/>
      <c r="E252" s="23" t="inlineStr"/>
      <c r="F252" s="23" t="inlineStr"/>
      <c r="G252" s="25" t="inlineStr">
        <is>
          <t>📍</t>
        </is>
      </c>
      <c r="H252" s="23" t="inlineStr"/>
      <c r="I252" s="23" t="inlineStr"/>
      <c r="J252" s="40" t="inlineStr">
        <is>
          <t>🔥 Без сайту</t>
        </is>
      </c>
      <c r="K252" s="37" t="inlineStr">
        <is>
          <t>❌</t>
        </is>
      </c>
      <c r="L252" s="27" t="inlineStr">
        <is>
          <t>❌</t>
        </is>
      </c>
      <c r="M252" s="38" t="inlineStr">
        <is>
          <t>🟢 A</t>
        </is>
      </c>
      <c r="N252" s="21" t="inlineStr"/>
      <c r="O252" s="21" t="inlineStr"/>
      <c r="P252" s="23" t="inlineStr">
        <is>
          <t>—</t>
        </is>
      </c>
      <c r="Q252" s="23" t="inlineStr"/>
      <c r="R252" s="28" t="n"/>
      <c r="S252" s="23" t="inlineStr"/>
      <c r="T252" s="19" t="inlineStr">
        <is>
          <t>🟡 Новий</t>
        </is>
      </c>
      <c r="U252" s="21" t="inlineStr"/>
      <c r="V252" s="28" t="n"/>
      <c r="W252" s="21" t="inlineStr"/>
    </row>
    <row r="253" ht="20" customHeight="1">
      <c r="A253" s="9" t="n">
        <v>251</v>
      </c>
      <c r="B253" s="10" t="inlineStr">
        <is>
          <t>Вертеп 1</t>
        </is>
      </c>
      <c r="C253" s="10" t="inlineStr">
        <is>
          <t>Львів</t>
        </is>
      </c>
      <c r="D253" s="11" t="inlineStr"/>
      <c r="E253" s="11" t="inlineStr"/>
      <c r="F253" s="11" t="inlineStr"/>
      <c r="G253" s="13" t="inlineStr">
        <is>
          <t>📍</t>
        </is>
      </c>
      <c r="H253" s="11" t="inlineStr"/>
      <c r="I253" s="11" t="inlineStr"/>
      <c r="J253" s="40" t="inlineStr">
        <is>
          <t>🔥 Без сайту</t>
        </is>
      </c>
      <c r="K253" s="39" t="inlineStr">
        <is>
          <t>❌</t>
        </is>
      </c>
      <c r="L253" s="16" t="inlineStr">
        <is>
          <t>❌</t>
        </is>
      </c>
      <c r="M253" s="38" t="inlineStr">
        <is>
          <t>🟢 A</t>
        </is>
      </c>
      <c r="N253" s="10" t="inlineStr"/>
      <c r="O253" s="10" t="inlineStr"/>
      <c r="P253" s="11" t="inlineStr">
        <is>
          <t>—</t>
        </is>
      </c>
      <c r="Q253" s="11" t="inlineStr"/>
      <c r="R253" s="18" t="n"/>
      <c r="S253" s="11" t="inlineStr"/>
      <c r="T253" s="19" t="inlineStr">
        <is>
          <t>🟡 Новий</t>
        </is>
      </c>
      <c r="U253" s="10" t="inlineStr"/>
      <c r="V253" s="18" t="n"/>
      <c r="W253" s="10" t="inlineStr"/>
    </row>
    <row r="254" ht="20" customHeight="1">
      <c r="A254" s="20" t="n">
        <v>252</v>
      </c>
      <c r="B254" s="21" t="inlineStr">
        <is>
          <t>Вишенька</t>
        </is>
      </c>
      <c r="C254" s="21" t="inlineStr">
        <is>
          <t>Львів</t>
        </is>
      </c>
      <c r="D254" s="23" t="inlineStr"/>
      <c r="E254" s="23" t="inlineStr"/>
      <c r="F254" s="23" t="inlineStr"/>
      <c r="G254" s="25" t="inlineStr">
        <is>
          <t>📍</t>
        </is>
      </c>
      <c r="H254" s="23" t="inlineStr"/>
      <c r="I254" s="23" t="inlineStr"/>
      <c r="J254" s="40" t="inlineStr">
        <is>
          <t>🔥 Без сайту</t>
        </is>
      </c>
      <c r="K254" s="37" t="inlineStr">
        <is>
          <t>❌</t>
        </is>
      </c>
      <c r="L254" s="27" t="inlineStr">
        <is>
          <t>❌</t>
        </is>
      </c>
      <c r="M254" s="38" t="inlineStr">
        <is>
          <t>🟢 A</t>
        </is>
      </c>
      <c r="N254" s="21" t="inlineStr"/>
      <c r="O254" s="21" t="inlineStr"/>
      <c r="P254" s="23" t="inlineStr">
        <is>
          <t>—</t>
        </is>
      </c>
      <c r="Q254" s="23" t="inlineStr"/>
      <c r="R254" s="28" t="n"/>
      <c r="S254" s="23" t="inlineStr"/>
      <c r="T254" s="19" t="inlineStr">
        <is>
          <t>🟡 Новий</t>
        </is>
      </c>
      <c r="U254" s="21" t="inlineStr"/>
      <c r="V254" s="28" t="n"/>
      <c r="W254" s="21" t="inlineStr"/>
    </row>
    <row r="255" ht="20" customHeight="1">
      <c r="A255" s="9" t="n">
        <v>253</v>
      </c>
      <c r="B255" s="10" t="inlineStr">
        <is>
          <t>Вогень</t>
        </is>
      </c>
      <c r="C255" s="10" t="inlineStr">
        <is>
          <t>Львів</t>
        </is>
      </c>
      <c r="D255" s="33" t="inlineStr">
        <is>
          <t>+380509785716</t>
        </is>
      </c>
      <c r="E255" s="11" t="inlineStr"/>
      <c r="F255" s="11" t="inlineStr"/>
      <c r="G255" s="13" t="inlineStr">
        <is>
          <t>📍</t>
        </is>
      </c>
      <c r="H255" s="11" t="inlineStr"/>
      <c r="I255" s="11" t="inlineStr"/>
      <c r="J255" s="40" t="inlineStr">
        <is>
          <t>🔥 Без сайту</t>
        </is>
      </c>
      <c r="K255" s="39" t="inlineStr">
        <is>
          <t>❌</t>
        </is>
      </c>
      <c r="L255" s="16" t="inlineStr">
        <is>
          <t>❌</t>
        </is>
      </c>
      <c r="M255" s="38" t="inlineStr">
        <is>
          <t>🟢 A</t>
        </is>
      </c>
      <c r="N255" s="10" t="inlineStr"/>
      <c r="O255" s="10" t="inlineStr"/>
      <c r="P255" s="11" t="inlineStr">
        <is>
          <t>—</t>
        </is>
      </c>
      <c r="Q255" s="11" t="inlineStr"/>
      <c r="R255" s="18" t="n"/>
      <c r="S255" s="11" t="inlineStr"/>
      <c r="T255" s="19" t="inlineStr">
        <is>
          <t>🟡 Новий</t>
        </is>
      </c>
      <c r="U255" s="10" t="inlineStr"/>
      <c r="V255" s="18" t="n"/>
      <c r="W255" s="10" t="inlineStr"/>
    </row>
    <row r="256" ht="20" customHeight="1">
      <c r="A256" s="20" t="n">
        <v>254</v>
      </c>
      <c r="B256" s="21" t="inlineStr">
        <is>
          <t>Вуйко Сем</t>
        </is>
      </c>
      <c r="C256" s="21" t="inlineStr">
        <is>
          <t>Львів</t>
        </is>
      </c>
      <c r="D256" s="23" t="inlineStr"/>
      <c r="E256" s="23" t="inlineStr"/>
      <c r="F256" s="23" t="inlineStr"/>
      <c r="G256" s="25" t="inlineStr">
        <is>
          <t>📍</t>
        </is>
      </c>
      <c r="H256" s="23" t="inlineStr"/>
      <c r="I256" s="23" t="inlineStr"/>
      <c r="J256" s="40" t="inlineStr">
        <is>
          <t>🔥 Без сайту</t>
        </is>
      </c>
      <c r="K256" s="37" t="inlineStr">
        <is>
          <t>❌</t>
        </is>
      </c>
      <c r="L256" s="27" t="inlineStr">
        <is>
          <t>❌</t>
        </is>
      </c>
      <c r="M256" s="38" t="inlineStr">
        <is>
          <t>🟢 A</t>
        </is>
      </c>
      <c r="N256" s="21" t="inlineStr"/>
      <c r="O256" s="21" t="inlineStr"/>
      <c r="P256" s="23" t="inlineStr">
        <is>
          <t>—</t>
        </is>
      </c>
      <c r="Q256" s="23" t="inlineStr"/>
      <c r="R256" s="28" t="n"/>
      <c r="S256" s="23" t="inlineStr"/>
      <c r="T256" s="19" t="inlineStr">
        <is>
          <t>🟡 Новий</t>
        </is>
      </c>
      <c r="U256" s="21" t="inlineStr"/>
      <c r="V256" s="28" t="n"/>
      <c r="W256" s="21" t="inlineStr"/>
    </row>
    <row r="257" ht="20" customHeight="1">
      <c r="A257" s="9" t="n">
        <v>255</v>
      </c>
      <c r="B257" s="10" t="inlineStr">
        <is>
          <t>Вулик</t>
        </is>
      </c>
      <c r="C257" s="10" t="inlineStr">
        <is>
          <t>вул. вулиця Михайла Грушевського, 16, Львів</t>
        </is>
      </c>
      <c r="D257" s="11" t="inlineStr"/>
      <c r="E257" s="11" t="inlineStr"/>
      <c r="F257" s="11" t="inlineStr"/>
      <c r="G257" s="13" t="inlineStr">
        <is>
          <t>📍</t>
        </is>
      </c>
      <c r="H257" s="11" t="inlineStr"/>
      <c r="I257" s="11" t="inlineStr"/>
      <c r="J257" s="40" t="inlineStr">
        <is>
          <t>🔥 Без сайту</t>
        </is>
      </c>
      <c r="K257" s="39" t="inlineStr">
        <is>
          <t>❌</t>
        </is>
      </c>
      <c r="L257" s="16" t="inlineStr">
        <is>
          <t>❌</t>
        </is>
      </c>
      <c r="M257" s="38" t="inlineStr">
        <is>
          <t>🟢 A</t>
        </is>
      </c>
      <c r="N257" s="10" t="inlineStr"/>
      <c r="O257" s="10" t="inlineStr"/>
      <c r="P257" s="11" t="inlineStr">
        <is>
          <t>—</t>
        </is>
      </c>
      <c r="Q257" s="11" t="inlineStr"/>
      <c r="R257" s="18" t="n"/>
      <c r="S257" s="11" t="inlineStr"/>
      <c r="T257" s="19" t="inlineStr">
        <is>
          <t>🟡 Новий</t>
        </is>
      </c>
      <c r="U257" s="10" t="inlineStr"/>
      <c r="V257" s="18" t="n"/>
      <c r="W257" s="10" t="inlineStr"/>
    </row>
    <row r="258" ht="20" customHeight="1">
      <c r="A258" s="20" t="n">
        <v>256</v>
      </c>
      <c r="B258" s="21" t="inlineStr">
        <is>
          <t>Візьми каву з собою</t>
        </is>
      </c>
      <c r="C258" s="21" t="inlineStr">
        <is>
          <t>Львів</t>
        </is>
      </c>
      <c r="D258" s="23" t="inlineStr"/>
      <c r="E258" s="23" t="inlineStr"/>
      <c r="F258" s="23" t="inlineStr"/>
      <c r="G258" s="25" t="inlineStr">
        <is>
          <t>📍</t>
        </is>
      </c>
      <c r="H258" s="23" t="inlineStr"/>
      <c r="I258" s="23" t="inlineStr"/>
      <c r="J258" s="40" t="inlineStr">
        <is>
          <t>🔥 Без сайту</t>
        </is>
      </c>
      <c r="K258" s="37" t="inlineStr">
        <is>
          <t>❌</t>
        </is>
      </c>
      <c r="L258" s="27" t="inlineStr">
        <is>
          <t>❌</t>
        </is>
      </c>
      <c r="M258" s="38" t="inlineStr">
        <is>
          <t>🟢 A</t>
        </is>
      </c>
      <c r="N258" s="21" t="inlineStr"/>
      <c r="O258" s="21" t="inlineStr"/>
      <c r="P258" s="23" t="inlineStr">
        <is>
          <t>—</t>
        </is>
      </c>
      <c r="Q258" s="23" t="inlineStr"/>
      <c r="R258" s="28" t="n"/>
      <c r="S258" s="23" t="inlineStr"/>
      <c r="T258" s="19" t="inlineStr">
        <is>
          <t>🟡 Новий</t>
        </is>
      </c>
      <c r="U258" s="21" t="inlineStr"/>
      <c r="V258" s="28" t="n"/>
      <c r="W258" s="21" t="inlineStr"/>
    </row>
    <row r="259" ht="20" customHeight="1">
      <c r="A259" s="9" t="n">
        <v>257</v>
      </c>
      <c r="B259" s="10" t="inlineStr">
        <is>
          <t>Вітальня</t>
        </is>
      </c>
      <c r="C259" s="10" t="inlineStr">
        <is>
          <t>Львів</t>
        </is>
      </c>
      <c r="D259" s="11" t="inlineStr"/>
      <c r="E259" s="11" t="inlineStr"/>
      <c r="F259" s="11" t="inlineStr"/>
      <c r="G259" s="13" t="inlineStr">
        <is>
          <t>📍</t>
        </is>
      </c>
      <c r="H259" s="11" t="inlineStr"/>
      <c r="I259" s="11" t="inlineStr"/>
      <c r="J259" s="40" t="inlineStr">
        <is>
          <t>🔥 Без сайту</t>
        </is>
      </c>
      <c r="K259" s="39" t="inlineStr">
        <is>
          <t>❌</t>
        </is>
      </c>
      <c r="L259" s="16" t="inlineStr">
        <is>
          <t>❌</t>
        </is>
      </c>
      <c r="M259" s="38" t="inlineStr">
        <is>
          <t>🟢 A</t>
        </is>
      </c>
      <c r="N259" s="10" t="inlineStr"/>
      <c r="O259" s="10" t="inlineStr"/>
      <c r="P259" s="11" t="inlineStr">
        <is>
          <t>—</t>
        </is>
      </c>
      <c r="Q259" s="11" t="inlineStr"/>
      <c r="R259" s="18" t="n"/>
      <c r="S259" s="11" t="inlineStr"/>
      <c r="T259" s="19" t="inlineStr">
        <is>
          <t>🟡 Новий</t>
        </is>
      </c>
      <c r="U259" s="10" t="inlineStr"/>
      <c r="V259" s="18" t="n"/>
      <c r="W259" s="10" t="inlineStr"/>
    </row>
    <row r="260" ht="20" customHeight="1">
      <c r="A260" s="20" t="n">
        <v>258</v>
      </c>
      <c r="B260" s="21" t="inlineStr">
        <is>
          <t>Галатея</t>
        </is>
      </c>
      <c r="C260" s="21" t="inlineStr">
        <is>
          <t>Львів</t>
        </is>
      </c>
      <c r="D260" s="23" t="inlineStr"/>
      <c r="E260" s="23" t="inlineStr"/>
      <c r="F260" s="23" t="inlineStr"/>
      <c r="G260" s="25" t="inlineStr">
        <is>
          <t>📍</t>
        </is>
      </c>
      <c r="H260" s="23" t="inlineStr"/>
      <c r="I260" s="23" t="inlineStr"/>
      <c r="J260" s="40" t="inlineStr">
        <is>
          <t>🔥 Без сайту</t>
        </is>
      </c>
      <c r="K260" s="37" t="inlineStr">
        <is>
          <t>❌</t>
        </is>
      </c>
      <c r="L260" s="27" t="inlineStr">
        <is>
          <t>❌</t>
        </is>
      </c>
      <c r="M260" s="38" t="inlineStr">
        <is>
          <t>🟢 A</t>
        </is>
      </c>
      <c r="N260" s="21" t="inlineStr"/>
      <c r="O260" s="21" t="inlineStr"/>
      <c r="P260" s="23" t="inlineStr">
        <is>
          <t>—</t>
        </is>
      </c>
      <c r="Q260" s="23" t="inlineStr"/>
      <c r="R260" s="28" t="n"/>
      <c r="S260" s="23" t="inlineStr"/>
      <c r="T260" s="19" t="inlineStr">
        <is>
          <t>🟡 Новий</t>
        </is>
      </c>
      <c r="U260" s="21" t="inlineStr"/>
      <c r="V260" s="28" t="n"/>
      <c r="W260" s="21" t="inlineStr"/>
    </row>
    <row r="261" ht="20" customHeight="1">
      <c r="A261" s="9" t="n">
        <v>259</v>
      </c>
      <c r="B261" s="10" t="inlineStr">
        <is>
          <t>Галичина</t>
        </is>
      </c>
      <c r="C261" s="10" t="inlineStr">
        <is>
          <t>Львів</t>
        </is>
      </c>
      <c r="D261" s="11" t="inlineStr"/>
      <c r="E261" s="11" t="inlineStr"/>
      <c r="F261" s="11" t="inlineStr"/>
      <c r="G261" s="13" t="inlineStr">
        <is>
          <t>📍</t>
        </is>
      </c>
      <c r="H261" s="11" t="inlineStr"/>
      <c r="I261" s="11" t="inlineStr"/>
      <c r="J261" s="40" t="inlineStr">
        <is>
          <t>🔥 Без сайту</t>
        </is>
      </c>
      <c r="K261" s="39" t="inlineStr">
        <is>
          <t>❌</t>
        </is>
      </c>
      <c r="L261" s="16" t="inlineStr">
        <is>
          <t>❌</t>
        </is>
      </c>
      <c r="M261" s="38" t="inlineStr">
        <is>
          <t>🟢 A</t>
        </is>
      </c>
      <c r="N261" s="10" t="inlineStr"/>
      <c r="O261" s="10" t="inlineStr"/>
      <c r="P261" s="11" t="inlineStr">
        <is>
          <t>—</t>
        </is>
      </c>
      <c r="Q261" s="11" t="inlineStr"/>
      <c r="R261" s="18" t="n"/>
      <c r="S261" s="11" t="inlineStr"/>
      <c r="T261" s="19" t="inlineStr">
        <is>
          <t>🟡 Новий</t>
        </is>
      </c>
      <c r="U261" s="10" t="inlineStr"/>
      <c r="V261" s="18" t="n"/>
      <c r="W261" s="10" t="inlineStr"/>
    </row>
    <row r="262" ht="20" customHeight="1">
      <c r="A262" s="20" t="n">
        <v>260</v>
      </c>
      <c r="B262" s="21" t="inlineStr">
        <is>
          <t>Галка</t>
        </is>
      </c>
      <c r="C262" s="21" t="inlineStr">
        <is>
          <t>Львів</t>
        </is>
      </c>
      <c r="D262" s="23" t="inlineStr"/>
      <c r="E262" s="23" t="inlineStr"/>
      <c r="F262" s="23" t="inlineStr"/>
      <c r="G262" s="25" t="inlineStr">
        <is>
          <t>📍</t>
        </is>
      </c>
      <c r="H262" s="23" t="inlineStr"/>
      <c r="I262" s="23" t="inlineStr"/>
      <c r="J262" s="40" t="inlineStr">
        <is>
          <t>🔥 Без сайту</t>
        </is>
      </c>
      <c r="K262" s="37" t="inlineStr">
        <is>
          <t>❌</t>
        </is>
      </c>
      <c r="L262" s="27" t="inlineStr">
        <is>
          <t>❌</t>
        </is>
      </c>
      <c r="M262" s="38" t="inlineStr">
        <is>
          <t>🟢 A</t>
        </is>
      </c>
      <c r="N262" s="21" t="inlineStr"/>
      <c r="O262" s="21" t="inlineStr"/>
      <c r="P262" s="23" t="inlineStr">
        <is>
          <t>—</t>
        </is>
      </c>
      <c r="Q262" s="23" t="inlineStr"/>
      <c r="R262" s="28" t="n"/>
      <c r="S262" s="23" t="inlineStr"/>
      <c r="T262" s="19" t="inlineStr">
        <is>
          <t>🟡 Новий</t>
        </is>
      </c>
      <c r="U262" s="21" t="inlineStr"/>
      <c r="V262" s="28" t="n"/>
      <c r="W262" s="21" t="inlineStr"/>
    </row>
    <row r="263" ht="20" customHeight="1">
      <c r="A263" s="9" t="n">
        <v>261</v>
      </c>
      <c r="B263" s="10" t="inlineStr">
        <is>
          <t>Галка Маркет</t>
        </is>
      </c>
      <c r="C263" s="10" t="inlineStr">
        <is>
          <t>Львів</t>
        </is>
      </c>
      <c r="D263" s="11" t="inlineStr"/>
      <c r="E263" s="11" t="inlineStr"/>
      <c r="F263" s="11" t="inlineStr"/>
      <c r="G263" s="13" t="inlineStr">
        <is>
          <t>📍</t>
        </is>
      </c>
      <c r="H263" s="11" t="inlineStr"/>
      <c r="I263" s="11" t="inlineStr"/>
      <c r="J263" s="40" t="inlineStr">
        <is>
          <t>🔥 Без сайту</t>
        </is>
      </c>
      <c r="K263" s="39" t="inlineStr">
        <is>
          <t>❌</t>
        </is>
      </c>
      <c r="L263" s="16" t="inlineStr">
        <is>
          <t>❌</t>
        </is>
      </c>
      <c r="M263" s="38" t="inlineStr">
        <is>
          <t>🟢 A</t>
        </is>
      </c>
      <c r="N263" s="10" t="inlineStr"/>
      <c r="O263" s="10" t="inlineStr"/>
      <c r="P263" s="11" t="inlineStr">
        <is>
          <t>—</t>
        </is>
      </c>
      <c r="Q263" s="11" t="inlineStr"/>
      <c r="R263" s="18" t="n"/>
      <c r="S263" s="11" t="inlineStr"/>
      <c r="T263" s="19" t="inlineStr">
        <is>
          <t>🟡 Новий</t>
        </is>
      </c>
      <c r="U263" s="10" t="inlineStr"/>
      <c r="V263" s="18" t="n"/>
      <c r="W263" s="10" t="inlineStr"/>
    </row>
    <row r="264" ht="20" customHeight="1">
      <c r="A264" s="20" t="n">
        <v>262</v>
      </c>
      <c r="B264" s="21" t="inlineStr">
        <is>
          <t>Гармата</t>
        </is>
      </c>
      <c r="C264" s="21" t="inlineStr">
        <is>
          <t>Львів</t>
        </is>
      </c>
      <c r="D264" s="23" t="inlineStr"/>
      <c r="E264" s="23" t="inlineStr"/>
      <c r="F264" s="23" t="inlineStr"/>
      <c r="G264" s="25" t="inlineStr">
        <is>
          <t>📍</t>
        </is>
      </c>
      <c r="H264" s="23" t="inlineStr"/>
      <c r="I264" s="23" t="inlineStr"/>
      <c r="J264" s="40" t="inlineStr">
        <is>
          <t>🔥 Без сайту</t>
        </is>
      </c>
      <c r="K264" s="37" t="inlineStr">
        <is>
          <t>❌</t>
        </is>
      </c>
      <c r="L264" s="27" t="inlineStr">
        <is>
          <t>❌</t>
        </is>
      </c>
      <c r="M264" s="38" t="inlineStr">
        <is>
          <t>🟢 A</t>
        </is>
      </c>
      <c r="N264" s="21" t="inlineStr"/>
      <c r="O264" s="21" t="inlineStr"/>
      <c r="P264" s="23" t="inlineStr">
        <is>
          <t>—</t>
        </is>
      </c>
      <c r="Q264" s="23" t="inlineStr"/>
      <c r="R264" s="28" t="n"/>
      <c r="S264" s="23" t="inlineStr"/>
      <c r="T264" s="19" t="inlineStr">
        <is>
          <t>🟡 Новий</t>
        </is>
      </c>
      <c r="U264" s="21" t="inlineStr"/>
      <c r="V264" s="28" t="n"/>
      <c r="W264" s="21" t="inlineStr"/>
    </row>
    <row r="265" ht="20" customHeight="1">
      <c r="A265" s="9" t="n">
        <v>263</v>
      </c>
      <c r="B265" s="10" t="inlineStr">
        <is>
          <t>Гармонія</t>
        </is>
      </c>
      <c r="C265" s="10" t="inlineStr">
        <is>
          <t>Львів</t>
        </is>
      </c>
      <c r="D265" s="11" t="inlineStr"/>
      <c r="E265" s="11" t="inlineStr"/>
      <c r="F265" s="11" t="inlineStr"/>
      <c r="G265" s="13" t="inlineStr">
        <is>
          <t>📍</t>
        </is>
      </c>
      <c r="H265" s="11" t="inlineStr"/>
      <c r="I265" s="11" t="inlineStr"/>
      <c r="J265" s="40" t="inlineStr">
        <is>
          <t>🔥 Без сайту</t>
        </is>
      </c>
      <c r="K265" s="39" t="inlineStr">
        <is>
          <t>❌</t>
        </is>
      </c>
      <c r="L265" s="16" t="inlineStr">
        <is>
          <t>❌</t>
        </is>
      </c>
      <c r="M265" s="38" t="inlineStr">
        <is>
          <t>🟢 A</t>
        </is>
      </c>
      <c r="N265" s="10" t="inlineStr"/>
      <c r="O265" s="10" t="inlineStr"/>
      <c r="P265" s="11" t="inlineStr">
        <is>
          <t>—</t>
        </is>
      </c>
      <c r="Q265" s="11" t="inlineStr"/>
      <c r="R265" s="18" t="n"/>
      <c r="S265" s="11" t="inlineStr"/>
      <c r="T265" s="19" t="inlineStr">
        <is>
          <t>🟡 Новий</t>
        </is>
      </c>
      <c r="U265" s="10" t="inlineStr"/>
      <c r="V265" s="18" t="n"/>
      <c r="W265" s="10" t="inlineStr"/>
    </row>
    <row r="266" ht="20" customHeight="1">
      <c r="A266" s="20" t="n">
        <v>264</v>
      </c>
      <c r="B266" s="21" t="inlineStr">
        <is>
          <t>Горіховий дім</t>
        </is>
      </c>
      <c r="C266" s="21" t="inlineStr">
        <is>
          <t>Львів</t>
        </is>
      </c>
      <c r="D266" s="23" t="inlineStr"/>
      <c r="E266" s="23" t="inlineStr"/>
      <c r="F266" s="23" t="inlineStr"/>
      <c r="G266" s="25" t="inlineStr">
        <is>
          <t>📍</t>
        </is>
      </c>
      <c r="H266" s="23" t="inlineStr"/>
      <c r="I266" s="23" t="inlineStr"/>
      <c r="J266" s="40" t="inlineStr">
        <is>
          <t>🔥 Без сайту</t>
        </is>
      </c>
      <c r="K266" s="37" t="inlineStr">
        <is>
          <t>❌</t>
        </is>
      </c>
      <c r="L266" s="27" t="inlineStr">
        <is>
          <t>❌</t>
        </is>
      </c>
      <c r="M266" s="38" t="inlineStr">
        <is>
          <t>🟢 A</t>
        </is>
      </c>
      <c r="N266" s="21" t="inlineStr"/>
      <c r="O266" s="21" t="inlineStr"/>
      <c r="P266" s="23" t="inlineStr">
        <is>
          <t>—</t>
        </is>
      </c>
      <c r="Q266" s="23" t="inlineStr"/>
      <c r="R266" s="28" t="n"/>
      <c r="S266" s="23" t="inlineStr"/>
      <c r="T266" s="19" t="inlineStr">
        <is>
          <t>🟡 Новий</t>
        </is>
      </c>
      <c r="U266" s="21" t="inlineStr"/>
      <c r="V266" s="28" t="n"/>
      <c r="W266" s="21" t="inlineStr"/>
    </row>
    <row r="267" ht="20" customHeight="1">
      <c r="A267" s="9" t="n">
        <v>265</v>
      </c>
      <c r="B267" s="10" t="inlineStr">
        <is>
          <t>Гуральня</t>
        </is>
      </c>
      <c r="C267" s="10" t="inlineStr">
        <is>
          <t>Львів</t>
        </is>
      </c>
      <c r="D267" s="11" t="inlineStr"/>
      <c r="E267" s="11" t="inlineStr"/>
      <c r="F267" s="11" t="inlineStr"/>
      <c r="G267" s="13" t="inlineStr">
        <is>
          <t>📍</t>
        </is>
      </c>
      <c r="H267" s="11" t="inlineStr"/>
      <c r="I267" s="11" t="inlineStr"/>
      <c r="J267" s="40" t="inlineStr">
        <is>
          <t>🔥 Без сайту</t>
        </is>
      </c>
      <c r="K267" s="39" t="inlineStr">
        <is>
          <t>❌</t>
        </is>
      </c>
      <c r="L267" s="16" t="inlineStr">
        <is>
          <t>❌</t>
        </is>
      </c>
      <c r="M267" s="38" t="inlineStr">
        <is>
          <t>🟢 A</t>
        </is>
      </c>
      <c r="N267" s="10" t="inlineStr"/>
      <c r="O267" s="10" t="inlineStr"/>
      <c r="P267" s="11" t="inlineStr">
        <is>
          <t>—</t>
        </is>
      </c>
      <c r="Q267" s="11" t="inlineStr"/>
      <c r="R267" s="18" t="n"/>
      <c r="S267" s="11" t="inlineStr"/>
      <c r="T267" s="19" t="inlineStr">
        <is>
          <t>🟡 Новий</t>
        </is>
      </c>
      <c r="U267" s="10" t="inlineStr"/>
      <c r="V267" s="18" t="n"/>
      <c r="W267" s="10" t="inlineStr"/>
    </row>
    <row r="268" ht="20" customHeight="1">
      <c r="A268" s="20" t="n">
        <v>266</v>
      </c>
      <c r="B268" s="21" t="inlineStr">
        <is>
          <t>Девіант</t>
        </is>
      </c>
      <c r="C268" s="21" t="inlineStr">
        <is>
          <t>вул. Золота вулиця, 7, Львів</t>
        </is>
      </c>
      <c r="D268" s="23" t="inlineStr"/>
      <c r="E268" s="23" t="inlineStr"/>
      <c r="F268" s="23" t="inlineStr"/>
      <c r="G268" s="25" t="inlineStr">
        <is>
          <t>📍</t>
        </is>
      </c>
      <c r="H268" s="23" t="inlineStr"/>
      <c r="I268" s="23" t="inlineStr"/>
      <c r="J268" s="40" t="inlineStr">
        <is>
          <t>🔥 Без сайту</t>
        </is>
      </c>
      <c r="K268" s="37" t="inlineStr">
        <is>
          <t>❌</t>
        </is>
      </c>
      <c r="L268" s="27" t="inlineStr">
        <is>
          <t>❌</t>
        </is>
      </c>
      <c r="M268" s="38" t="inlineStr">
        <is>
          <t>🟢 A</t>
        </is>
      </c>
      <c r="N268" s="21" t="inlineStr"/>
      <c r="O268" s="21" t="inlineStr"/>
      <c r="P268" s="23" t="inlineStr">
        <is>
          <t>—</t>
        </is>
      </c>
      <c r="Q268" s="23" t="inlineStr"/>
      <c r="R268" s="28" t="n"/>
      <c r="S268" s="23" t="inlineStr"/>
      <c r="T268" s="19" t="inlineStr">
        <is>
          <t>🟡 Новий</t>
        </is>
      </c>
      <c r="U268" s="21" t="inlineStr"/>
      <c r="V268" s="28" t="n"/>
      <c r="W268" s="21" t="inlineStr"/>
    </row>
    <row r="269" ht="20" customHeight="1">
      <c r="A269" s="9" t="n">
        <v>267</v>
      </c>
      <c r="B269" s="10" t="inlineStr">
        <is>
          <t>Делікатеси</t>
        </is>
      </c>
      <c r="C269" s="10" t="inlineStr">
        <is>
          <t>Львів</t>
        </is>
      </c>
      <c r="D269" s="11" t="inlineStr"/>
      <c r="E269" s="11" t="inlineStr"/>
      <c r="F269" s="11" t="inlineStr"/>
      <c r="G269" s="13" t="inlineStr">
        <is>
          <t>📍</t>
        </is>
      </c>
      <c r="H269" s="11" t="inlineStr"/>
      <c r="I269" s="11" t="inlineStr"/>
      <c r="J269" s="40" t="inlineStr">
        <is>
          <t>🔥 Без сайту</t>
        </is>
      </c>
      <c r="K269" s="39" t="inlineStr">
        <is>
          <t>❌</t>
        </is>
      </c>
      <c r="L269" s="16" t="inlineStr">
        <is>
          <t>❌</t>
        </is>
      </c>
      <c r="M269" s="38" t="inlineStr">
        <is>
          <t>🟢 A</t>
        </is>
      </c>
      <c r="N269" s="10" t="inlineStr"/>
      <c r="O269" s="10" t="inlineStr"/>
      <c r="P269" s="11" t="inlineStr">
        <is>
          <t>—</t>
        </is>
      </c>
      <c r="Q269" s="11" t="inlineStr"/>
      <c r="R269" s="18" t="n"/>
      <c r="S269" s="11" t="inlineStr"/>
      <c r="T269" s="19" t="inlineStr">
        <is>
          <t>🟡 Новий</t>
        </is>
      </c>
      <c r="U269" s="10" t="inlineStr"/>
      <c r="V269" s="18" t="n"/>
      <c r="W269" s="10" t="inlineStr"/>
    </row>
    <row r="270" ht="20" customHeight="1">
      <c r="A270" s="20" t="n">
        <v>268</v>
      </c>
      <c r="B270" s="21" t="inlineStr">
        <is>
          <t>Для тебе</t>
        </is>
      </c>
      <c r="C270" s="21" t="inlineStr">
        <is>
          <t>Львів</t>
        </is>
      </c>
      <c r="D270" s="23" t="inlineStr"/>
      <c r="E270" s="23" t="inlineStr"/>
      <c r="F270" s="23" t="inlineStr"/>
      <c r="G270" s="25" t="inlineStr">
        <is>
          <t>📍</t>
        </is>
      </c>
      <c r="H270" s="23" t="inlineStr"/>
      <c r="I270" s="23" t="inlineStr"/>
      <c r="J270" s="40" t="inlineStr">
        <is>
          <t>🔥 Без сайту</t>
        </is>
      </c>
      <c r="K270" s="37" t="inlineStr">
        <is>
          <t>❌</t>
        </is>
      </c>
      <c r="L270" s="27" t="inlineStr">
        <is>
          <t>❌</t>
        </is>
      </c>
      <c r="M270" s="38" t="inlineStr">
        <is>
          <t>🟢 A</t>
        </is>
      </c>
      <c r="N270" s="21" t="inlineStr"/>
      <c r="O270" s="21" t="inlineStr"/>
      <c r="P270" s="23" t="inlineStr">
        <is>
          <t>—</t>
        </is>
      </c>
      <c r="Q270" s="23" t="inlineStr"/>
      <c r="R270" s="28" t="n"/>
      <c r="S270" s="23" t="inlineStr"/>
      <c r="T270" s="19" t="inlineStr">
        <is>
          <t>🟡 Новий</t>
        </is>
      </c>
      <c r="U270" s="21" t="inlineStr"/>
      <c r="V270" s="28" t="n"/>
      <c r="W270" s="21" t="inlineStr"/>
    </row>
    <row r="271" ht="20" customHeight="1">
      <c r="A271" s="9" t="n">
        <v>269</v>
      </c>
      <c r="B271" s="10" t="inlineStr">
        <is>
          <t>Добова доза</t>
        </is>
      </c>
      <c r="C271" s="10" t="inlineStr">
        <is>
          <t>Львів</t>
        </is>
      </c>
      <c r="D271" s="11" t="inlineStr"/>
      <c r="E271" s="11" t="inlineStr"/>
      <c r="F271" s="11" t="inlineStr"/>
      <c r="G271" s="13" t="inlineStr">
        <is>
          <t>📍</t>
        </is>
      </c>
      <c r="H271" s="11" t="inlineStr"/>
      <c r="I271" s="11" t="inlineStr"/>
      <c r="J271" s="40" t="inlineStr">
        <is>
          <t>🔥 Без сайту</t>
        </is>
      </c>
      <c r="K271" s="39" t="inlineStr">
        <is>
          <t>❌</t>
        </is>
      </c>
      <c r="L271" s="16" t="inlineStr">
        <is>
          <t>❌</t>
        </is>
      </c>
      <c r="M271" s="38" t="inlineStr">
        <is>
          <t>🟢 A</t>
        </is>
      </c>
      <c r="N271" s="10" t="inlineStr"/>
      <c r="O271" s="10" t="inlineStr"/>
      <c r="P271" s="11" t="inlineStr">
        <is>
          <t>—</t>
        </is>
      </c>
      <c r="Q271" s="11" t="inlineStr"/>
      <c r="R271" s="18" t="n"/>
      <c r="S271" s="11" t="inlineStr"/>
      <c r="T271" s="19" t="inlineStr">
        <is>
          <t>🟡 Новий</t>
        </is>
      </c>
      <c r="U271" s="10" t="inlineStr"/>
      <c r="V271" s="18" t="n"/>
      <c r="W271" s="10" t="inlineStr"/>
    </row>
    <row r="272" ht="20" customHeight="1">
      <c r="A272" s="20" t="n">
        <v>270</v>
      </c>
      <c r="B272" s="21" t="inlineStr">
        <is>
          <t>Довгі бурхливі оплески</t>
        </is>
      </c>
      <c r="C272" s="21" t="inlineStr">
        <is>
          <t>Львів</t>
        </is>
      </c>
      <c r="D272" s="23" t="inlineStr"/>
      <c r="E272" s="23" t="inlineStr"/>
      <c r="F272" s="23" t="inlineStr"/>
      <c r="G272" s="25" t="inlineStr">
        <is>
          <t>📍</t>
        </is>
      </c>
      <c r="H272" s="23" t="inlineStr"/>
      <c r="I272" s="23" t="inlineStr"/>
      <c r="J272" s="40" t="inlineStr">
        <is>
          <t>🔥 Без сайту</t>
        </is>
      </c>
      <c r="K272" s="37" t="inlineStr">
        <is>
          <t>❌</t>
        </is>
      </c>
      <c r="L272" s="27" t="inlineStr">
        <is>
          <t>❌</t>
        </is>
      </c>
      <c r="M272" s="38" t="inlineStr">
        <is>
          <t>🟢 A</t>
        </is>
      </c>
      <c r="N272" s="21" t="inlineStr"/>
      <c r="O272" s="21" t="inlineStr"/>
      <c r="P272" s="23" t="inlineStr">
        <is>
          <t>—</t>
        </is>
      </c>
      <c r="Q272" s="23" t="inlineStr"/>
      <c r="R272" s="28" t="n"/>
      <c r="S272" s="23" t="inlineStr"/>
      <c r="T272" s="19" t="inlineStr">
        <is>
          <t>🟡 Новий</t>
        </is>
      </c>
      <c r="U272" s="21" t="inlineStr"/>
      <c r="V272" s="28" t="n"/>
      <c r="W272" s="21" t="inlineStr"/>
    </row>
    <row r="273" ht="20" customHeight="1">
      <c r="A273" s="9" t="n">
        <v>271</v>
      </c>
      <c r="B273" s="10" t="inlineStr">
        <is>
          <t>Домашня Кухня</t>
        </is>
      </c>
      <c r="C273" s="10" t="inlineStr">
        <is>
          <t>вул. вулиця Героїв УПА, Львів</t>
        </is>
      </c>
      <c r="D273" s="11" t="inlineStr"/>
      <c r="E273" s="11" t="inlineStr"/>
      <c r="F273" s="11" t="inlineStr"/>
      <c r="G273" s="13" t="inlineStr">
        <is>
          <t>📍</t>
        </is>
      </c>
      <c r="H273" s="11" t="inlineStr"/>
      <c r="I273" s="11" t="inlineStr"/>
      <c r="J273" s="40" t="inlineStr">
        <is>
          <t>🔥 Без сайту</t>
        </is>
      </c>
      <c r="K273" s="39" t="inlineStr">
        <is>
          <t>❌</t>
        </is>
      </c>
      <c r="L273" s="16" t="inlineStr">
        <is>
          <t>❌</t>
        </is>
      </c>
      <c r="M273" s="38" t="inlineStr">
        <is>
          <t>🟢 A</t>
        </is>
      </c>
      <c r="N273" s="10" t="inlineStr"/>
      <c r="O273" s="10" t="inlineStr"/>
      <c r="P273" s="11" t="inlineStr">
        <is>
          <t>—</t>
        </is>
      </c>
      <c r="Q273" s="11" t="inlineStr"/>
      <c r="R273" s="18" t="n"/>
      <c r="S273" s="11" t="inlineStr"/>
      <c r="T273" s="19" t="inlineStr">
        <is>
          <t>🟡 Новий</t>
        </is>
      </c>
      <c r="U273" s="10" t="inlineStr"/>
      <c r="V273" s="18" t="n"/>
      <c r="W273" s="10" t="inlineStr"/>
    </row>
    <row r="274" ht="20" customHeight="1">
      <c r="A274" s="20" t="n">
        <v>272</v>
      </c>
      <c r="B274" s="21" t="inlineStr">
        <is>
          <t>Домашня кухня</t>
        </is>
      </c>
      <c r="C274" s="21" t="inlineStr">
        <is>
          <t>Львів</t>
        </is>
      </c>
      <c r="D274" s="23" t="inlineStr"/>
      <c r="E274" s="23" t="inlineStr"/>
      <c r="F274" s="23" t="inlineStr"/>
      <c r="G274" s="25" t="inlineStr">
        <is>
          <t>📍</t>
        </is>
      </c>
      <c r="H274" s="23" t="inlineStr"/>
      <c r="I274" s="23" t="inlineStr"/>
      <c r="J274" s="40" t="inlineStr">
        <is>
          <t>🔥 Без сайту</t>
        </is>
      </c>
      <c r="K274" s="37" t="inlineStr">
        <is>
          <t>❌</t>
        </is>
      </c>
      <c r="L274" s="27" t="inlineStr">
        <is>
          <t>❌</t>
        </is>
      </c>
      <c r="M274" s="38" t="inlineStr">
        <is>
          <t>🟢 A</t>
        </is>
      </c>
      <c r="N274" s="21" t="inlineStr"/>
      <c r="O274" s="21" t="inlineStr"/>
      <c r="P274" s="23" t="inlineStr">
        <is>
          <t>—</t>
        </is>
      </c>
      <c r="Q274" s="23" t="inlineStr"/>
      <c r="R274" s="28" t="n"/>
      <c r="S274" s="23" t="inlineStr"/>
      <c r="T274" s="19" t="inlineStr">
        <is>
          <t>🟡 Новий</t>
        </is>
      </c>
      <c r="U274" s="21" t="inlineStr"/>
      <c r="V274" s="28" t="n"/>
      <c r="W274" s="21" t="inlineStr"/>
    </row>
    <row r="275" ht="20" customHeight="1">
      <c r="A275" s="9" t="n">
        <v>273</v>
      </c>
      <c r="B275" s="10" t="inlineStr">
        <is>
          <t>Домашній затишок</t>
        </is>
      </c>
      <c r="C275" s="10" t="inlineStr">
        <is>
          <t>Львів</t>
        </is>
      </c>
      <c r="D275" s="11" t="inlineStr"/>
      <c r="E275" s="11" t="inlineStr"/>
      <c r="F275" s="11" t="inlineStr"/>
      <c r="G275" s="13" t="inlineStr">
        <is>
          <t>📍</t>
        </is>
      </c>
      <c r="H275" s="11" t="inlineStr"/>
      <c r="I275" s="11" t="inlineStr"/>
      <c r="J275" s="40" t="inlineStr">
        <is>
          <t>🔥 Без сайту</t>
        </is>
      </c>
      <c r="K275" s="39" t="inlineStr">
        <is>
          <t>❌</t>
        </is>
      </c>
      <c r="L275" s="16" t="inlineStr">
        <is>
          <t>❌</t>
        </is>
      </c>
      <c r="M275" s="38" t="inlineStr">
        <is>
          <t>🟢 A</t>
        </is>
      </c>
      <c r="N275" s="10" t="inlineStr"/>
      <c r="O275" s="10" t="inlineStr"/>
      <c r="P275" s="11" t="inlineStr">
        <is>
          <t>—</t>
        </is>
      </c>
      <c r="Q275" s="11" t="inlineStr"/>
      <c r="R275" s="18" t="n"/>
      <c r="S275" s="11" t="inlineStr"/>
      <c r="T275" s="19" t="inlineStr">
        <is>
          <t>🟡 Новий</t>
        </is>
      </c>
      <c r="U275" s="10" t="inlineStr"/>
      <c r="V275" s="18" t="n"/>
      <c r="W275" s="10" t="inlineStr"/>
    </row>
    <row r="276" ht="20" customHeight="1">
      <c r="A276" s="20" t="n">
        <v>274</v>
      </c>
      <c r="B276" s="21" t="inlineStr">
        <is>
          <t>Драгон</t>
        </is>
      </c>
      <c r="C276" s="21" t="inlineStr">
        <is>
          <t>Львів</t>
        </is>
      </c>
      <c r="D276" s="23" t="inlineStr"/>
      <c r="E276" s="23" t="inlineStr"/>
      <c r="F276" s="23" t="inlineStr"/>
      <c r="G276" s="25" t="inlineStr">
        <is>
          <t>📍</t>
        </is>
      </c>
      <c r="H276" s="23" t="inlineStr"/>
      <c r="I276" s="23" t="inlineStr"/>
      <c r="J276" s="40" t="inlineStr">
        <is>
          <t>🔥 Без сайту</t>
        </is>
      </c>
      <c r="K276" s="37" t="inlineStr">
        <is>
          <t>❌</t>
        </is>
      </c>
      <c r="L276" s="27" t="inlineStr">
        <is>
          <t>❌</t>
        </is>
      </c>
      <c r="M276" s="38" t="inlineStr">
        <is>
          <t>🟢 A</t>
        </is>
      </c>
      <c r="N276" s="21" t="inlineStr"/>
      <c r="O276" s="21" t="inlineStr"/>
      <c r="P276" s="23" t="inlineStr">
        <is>
          <t>—</t>
        </is>
      </c>
      <c r="Q276" s="23" t="inlineStr"/>
      <c r="R276" s="28" t="n"/>
      <c r="S276" s="23" t="inlineStr"/>
      <c r="T276" s="19" t="inlineStr">
        <is>
          <t>🟡 Новий</t>
        </is>
      </c>
      <c r="U276" s="21" t="inlineStr"/>
      <c r="V276" s="28" t="n"/>
      <c r="W276" s="21" t="inlineStr"/>
    </row>
    <row r="277" ht="20" customHeight="1">
      <c r="A277" s="9" t="n">
        <v>275</v>
      </c>
      <c r="B277" s="10" t="inlineStr">
        <is>
          <t>Дукат</t>
        </is>
      </c>
      <c r="C277" s="10" t="inlineStr">
        <is>
          <t>вул. Огіркова вулиця, Львів</t>
        </is>
      </c>
      <c r="D277" s="11" t="inlineStr"/>
      <c r="E277" s="11" t="inlineStr"/>
      <c r="F277" s="11" t="inlineStr"/>
      <c r="G277" s="13" t="inlineStr">
        <is>
          <t>📍</t>
        </is>
      </c>
      <c r="H277" s="11" t="inlineStr"/>
      <c r="I277" s="11" t="inlineStr"/>
      <c r="J277" s="40" t="inlineStr">
        <is>
          <t>🔥 Без сайту</t>
        </is>
      </c>
      <c r="K277" s="39" t="inlineStr">
        <is>
          <t>❌</t>
        </is>
      </c>
      <c r="L277" s="16" t="inlineStr">
        <is>
          <t>❌</t>
        </is>
      </c>
      <c r="M277" s="38" t="inlineStr">
        <is>
          <t>🟢 A</t>
        </is>
      </c>
      <c r="N277" s="10" t="inlineStr"/>
      <c r="O277" s="10" t="inlineStr"/>
      <c r="P277" s="11" t="inlineStr">
        <is>
          <t>—</t>
        </is>
      </c>
      <c r="Q277" s="11" t="inlineStr"/>
      <c r="R277" s="18" t="n"/>
      <c r="S277" s="11" t="inlineStr"/>
      <c r="T277" s="19" t="inlineStr">
        <is>
          <t>🟡 Новий</t>
        </is>
      </c>
      <c r="U277" s="10" t="inlineStr"/>
      <c r="V277" s="18" t="n"/>
      <c r="W277" s="10" t="inlineStr"/>
    </row>
    <row r="278" ht="20" customHeight="1">
      <c r="A278" s="20" t="n">
        <v>276</v>
      </c>
      <c r="B278" s="21" t="inlineStr">
        <is>
          <t>Дім Кави</t>
        </is>
      </c>
      <c r="C278" s="21" t="inlineStr">
        <is>
          <t>Львів</t>
        </is>
      </c>
      <c r="D278" s="22" t="inlineStr">
        <is>
          <t>+380 322 61 5840</t>
        </is>
      </c>
      <c r="E278" s="23" t="inlineStr"/>
      <c r="F278" s="23" t="inlineStr"/>
      <c r="G278" s="25" t="inlineStr">
        <is>
          <t>📍</t>
        </is>
      </c>
      <c r="H278" s="23" t="inlineStr"/>
      <c r="I278" s="23" t="inlineStr"/>
      <c r="J278" s="40" t="inlineStr">
        <is>
          <t>🔥 Без сайту</t>
        </is>
      </c>
      <c r="K278" s="37" t="inlineStr">
        <is>
          <t>❌</t>
        </is>
      </c>
      <c r="L278" s="27" t="inlineStr">
        <is>
          <t>❌</t>
        </is>
      </c>
      <c r="M278" s="38" t="inlineStr">
        <is>
          <t>🟢 A</t>
        </is>
      </c>
      <c r="N278" s="21" t="inlineStr"/>
      <c r="O278" s="21" t="inlineStr"/>
      <c r="P278" s="23" t="inlineStr">
        <is>
          <t>—</t>
        </is>
      </c>
      <c r="Q278" s="23" t="inlineStr"/>
      <c r="R278" s="28" t="n"/>
      <c r="S278" s="23" t="inlineStr"/>
      <c r="T278" s="19" t="inlineStr">
        <is>
          <t>🟡 Новий</t>
        </is>
      </c>
      <c r="U278" s="21" t="inlineStr"/>
      <c r="V278" s="28" t="n"/>
      <c r="W278" s="21" t="inlineStr"/>
    </row>
    <row r="279" ht="20" customHeight="1">
      <c r="A279" s="9" t="n">
        <v>277</v>
      </c>
      <c r="B279" s="10" t="inlineStr">
        <is>
          <t>Експрес</t>
        </is>
      </c>
      <c r="C279" s="10" t="inlineStr">
        <is>
          <t>Львів</t>
        </is>
      </c>
      <c r="D279" s="11" t="inlineStr"/>
      <c r="E279" s="11" t="inlineStr"/>
      <c r="F279" s="11" t="inlineStr"/>
      <c r="G279" s="13" t="inlineStr">
        <is>
          <t>📍</t>
        </is>
      </c>
      <c r="H279" s="11" t="inlineStr"/>
      <c r="I279" s="11" t="inlineStr"/>
      <c r="J279" s="40" t="inlineStr">
        <is>
          <t>🔥 Без сайту</t>
        </is>
      </c>
      <c r="K279" s="39" t="inlineStr">
        <is>
          <t>❌</t>
        </is>
      </c>
      <c r="L279" s="16" t="inlineStr">
        <is>
          <t>❌</t>
        </is>
      </c>
      <c r="M279" s="38" t="inlineStr">
        <is>
          <t>🟢 A</t>
        </is>
      </c>
      <c r="N279" s="10" t="inlineStr"/>
      <c r="O279" s="10" t="inlineStr"/>
      <c r="P279" s="11" t="inlineStr">
        <is>
          <t>—</t>
        </is>
      </c>
      <c r="Q279" s="11" t="inlineStr"/>
      <c r="R279" s="18" t="n"/>
      <c r="S279" s="11" t="inlineStr"/>
      <c r="T279" s="19" t="inlineStr">
        <is>
          <t>🟡 Новий</t>
        </is>
      </c>
      <c r="U279" s="10" t="inlineStr"/>
      <c r="V279" s="18" t="n"/>
      <c r="W279" s="10" t="inlineStr"/>
    </row>
    <row r="280" ht="20" customHeight="1">
      <c r="A280" s="20" t="n">
        <v>278</v>
      </c>
      <c r="B280" s="21" t="inlineStr">
        <is>
          <t>Ель Греко</t>
        </is>
      </c>
      <c r="C280" s="21" t="inlineStr">
        <is>
          <t>Львів</t>
        </is>
      </c>
      <c r="D280" s="23" t="inlineStr"/>
      <c r="E280" s="23" t="inlineStr"/>
      <c r="F280" s="23" t="inlineStr"/>
      <c r="G280" s="25" t="inlineStr">
        <is>
          <t>📍</t>
        </is>
      </c>
      <c r="H280" s="23" t="inlineStr"/>
      <c r="I280" s="23" t="inlineStr"/>
      <c r="J280" s="40" t="inlineStr">
        <is>
          <t>🔥 Без сайту</t>
        </is>
      </c>
      <c r="K280" s="37" t="inlineStr">
        <is>
          <t>❌</t>
        </is>
      </c>
      <c r="L280" s="27" t="inlineStr">
        <is>
          <t>❌</t>
        </is>
      </c>
      <c r="M280" s="38" t="inlineStr">
        <is>
          <t>🟢 A</t>
        </is>
      </c>
      <c r="N280" s="21" t="inlineStr"/>
      <c r="O280" s="21" t="inlineStr"/>
      <c r="P280" s="23" t="inlineStr">
        <is>
          <t>—</t>
        </is>
      </c>
      <c r="Q280" s="23" t="inlineStr"/>
      <c r="R280" s="28" t="n"/>
      <c r="S280" s="23" t="inlineStr"/>
      <c r="T280" s="19" t="inlineStr">
        <is>
          <t>🟡 Новий</t>
        </is>
      </c>
      <c r="U280" s="21" t="inlineStr"/>
      <c r="V280" s="28" t="n"/>
      <c r="W280" s="21" t="inlineStr"/>
    </row>
    <row r="281" ht="20" customHeight="1">
      <c r="A281" s="9" t="n">
        <v>279</v>
      </c>
      <c r="B281" s="10" t="inlineStr">
        <is>
          <t>Живий</t>
        </is>
      </c>
      <c r="C281" s="10" t="inlineStr">
        <is>
          <t>Львів</t>
        </is>
      </c>
      <c r="D281" s="11" t="inlineStr"/>
      <c r="E281" s="11" t="inlineStr"/>
      <c r="F281" s="11" t="inlineStr"/>
      <c r="G281" s="13" t="inlineStr">
        <is>
          <t>📍</t>
        </is>
      </c>
      <c r="H281" s="11" t="inlineStr"/>
      <c r="I281" s="11" t="inlineStr"/>
      <c r="J281" s="40" t="inlineStr">
        <is>
          <t>🔥 Без сайту</t>
        </is>
      </c>
      <c r="K281" s="39" t="inlineStr">
        <is>
          <t>❌</t>
        </is>
      </c>
      <c r="L281" s="16" t="inlineStr">
        <is>
          <t>❌</t>
        </is>
      </c>
      <c r="M281" s="38" t="inlineStr">
        <is>
          <t>🟢 A</t>
        </is>
      </c>
      <c r="N281" s="10" t="inlineStr"/>
      <c r="O281" s="10" t="inlineStr"/>
      <c r="P281" s="11" t="inlineStr">
        <is>
          <t>—</t>
        </is>
      </c>
      <c r="Q281" s="11" t="inlineStr"/>
      <c r="R281" s="18" t="n"/>
      <c r="S281" s="11" t="inlineStr"/>
      <c r="T281" s="19" t="inlineStr">
        <is>
          <t>🟡 Новий</t>
        </is>
      </c>
      <c r="U281" s="10" t="inlineStr"/>
      <c r="V281" s="18" t="n"/>
      <c r="W281" s="10" t="inlineStr"/>
    </row>
    <row r="282" ht="20" customHeight="1">
      <c r="A282" s="20" t="n">
        <v>280</v>
      </c>
      <c r="B282" s="21" t="inlineStr">
        <is>
          <t>Затишок</t>
        </is>
      </c>
      <c r="C282" s="21" t="inlineStr">
        <is>
          <t>Львів</t>
        </is>
      </c>
      <c r="D282" s="23" t="inlineStr"/>
      <c r="E282" s="23" t="inlineStr"/>
      <c r="F282" s="23" t="inlineStr"/>
      <c r="G282" s="25" t="inlineStr">
        <is>
          <t>📍</t>
        </is>
      </c>
      <c r="H282" s="23" t="inlineStr"/>
      <c r="I282" s="23" t="inlineStr"/>
      <c r="J282" s="40" t="inlineStr">
        <is>
          <t>🔥 Без сайту</t>
        </is>
      </c>
      <c r="K282" s="37" t="inlineStr">
        <is>
          <t>❌</t>
        </is>
      </c>
      <c r="L282" s="27" t="inlineStr">
        <is>
          <t>❌</t>
        </is>
      </c>
      <c r="M282" s="38" t="inlineStr">
        <is>
          <t>🟢 A</t>
        </is>
      </c>
      <c r="N282" s="21" t="inlineStr"/>
      <c r="O282" s="21" t="inlineStr"/>
      <c r="P282" s="23" t="inlineStr">
        <is>
          <t>—</t>
        </is>
      </c>
      <c r="Q282" s="23" t="inlineStr"/>
      <c r="R282" s="28" t="n"/>
      <c r="S282" s="23" t="inlineStr"/>
      <c r="T282" s="19" t="inlineStr">
        <is>
          <t>🟡 Новий</t>
        </is>
      </c>
      <c r="U282" s="21" t="inlineStr"/>
      <c r="V282" s="28" t="n"/>
      <c r="W282" s="21" t="inlineStr"/>
    </row>
    <row r="283" ht="20" customHeight="1">
      <c r="A283" s="9" t="n">
        <v>281</v>
      </c>
      <c r="B283" s="10" t="inlineStr">
        <is>
          <t>Згадка</t>
        </is>
      </c>
      <c r="C283" s="10" t="inlineStr">
        <is>
          <t>Львів</t>
        </is>
      </c>
      <c r="D283" s="11" t="inlineStr"/>
      <c r="E283" s="11" t="inlineStr"/>
      <c r="F283" s="11" t="inlineStr"/>
      <c r="G283" s="13" t="inlineStr">
        <is>
          <t>📍</t>
        </is>
      </c>
      <c r="H283" s="11" t="inlineStr"/>
      <c r="I283" s="11" t="inlineStr"/>
      <c r="J283" s="40" t="inlineStr">
        <is>
          <t>🔥 Без сайту</t>
        </is>
      </c>
      <c r="K283" s="39" t="inlineStr">
        <is>
          <t>❌</t>
        </is>
      </c>
      <c r="L283" s="16" t="inlineStr">
        <is>
          <t>❌</t>
        </is>
      </c>
      <c r="M283" s="38" t="inlineStr">
        <is>
          <t>🟢 A</t>
        </is>
      </c>
      <c r="N283" s="10" t="inlineStr"/>
      <c r="O283" s="10" t="inlineStr"/>
      <c r="P283" s="11" t="inlineStr">
        <is>
          <t>—</t>
        </is>
      </c>
      <c r="Q283" s="11" t="inlineStr"/>
      <c r="R283" s="18" t="n"/>
      <c r="S283" s="11" t="inlineStr"/>
      <c r="T283" s="19" t="inlineStr">
        <is>
          <t>🟡 Новий</t>
        </is>
      </c>
      <c r="U283" s="10" t="inlineStr"/>
      <c r="V283" s="18" t="n"/>
      <c r="W283" s="10" t="inlineStr"/>
    </row>
    <row r="284" ht="20" customHeight="1">
      <c r="A284" s="20" t="n">
        <v>282</v>
      </c>
      <c r="B284" s="21" t="inlineStr">
        <is>
          <t>Зелений Клен</t>
        </is>
      </c>
      <c r="C284" s="21" t="inlineStr">
        <is>
          <t>вул. вулиця Панаса Мирного, 28, Львів</t>
        </is>
      </c>
      <c r="D284" s="23" t="inlineStr"/>
      <c r="E284" s="23" t="inlineStr"/>
      <c r="F284" s="23" t="inlineStr"/>
      <c r="G284" s="25" t="inlineStr">
        <is>
          <t>📍</t>
        </is>
      </c>
      <c r="H284" s="23" t="inlineStr"/>
      <c r="I284" s="23" t="inlineStr"/>
      <c r="J284" s="40" t="inlineStr">
        <is>
          <t>🔥 Без сайту</t>
        </is>
      </c>
      <c r="K284" s="37" t="inlineStr">
        <is>
          <t>❌</t>
        </is>
      </c>
      <c r="L284" s="27" t="inlineStr">
        <is>
          <t>❌</t>
        </is>
      </c>
      <c r="M284" s="38" t="inlineStr">
        <is>
          <t>🟢 A</t>
        </is>
      </c>
      <c r="N284" s="21" t="inlineStr"/>
      <c r="O284" s="21" t="inlineStr"/>
      <c r="P284" s="23" t="inlineStr">
        <is>
          <t>—</t>
        </is>
      </c>
      <c r="Q284" s="23" t="inlineStr"/>
      <c r="R284" s="28" t="n"/>
      <c r="S284" s="23" t="inlineStr"/>
      <c r="T284" s="19" t="inlineStr">
        <is>
          <t>🟡 Новий</t>
        </is>
      </c>
      <c r="U284" s="21" t="inlineStr"/>
      <c r="V284" s="28" t="n"/>
      <c r="W284" s="21" t="inlineStr"/>
    </row>
    <row r="285" ht="20" customHeight="1">
      <c r="A285" s="9" t="n">
        <v>283</v>
      </c>
      <c r="B285" s="10" t="inlineStr">
        <is>
          <t>Зелений дворик</t>
        </is>
      </c>
      <c r="C285" s="10" t="inlineStr">
        <is>
          <t>Львів</t>
        </is>
      </c>
      <c r="D285" s="11" t="inlineStr"/>
      <c r="E285" s="11" t="inlineStr"/>
      <c r="F285" s="11" t="inlineStr"/>
      <c r="G285" s="13" t="inlineStr">
        <is>
          <t>📍</t>
        </is>
      </c>
      <c r="H285" s="11" t="inlineStr"/>
      <c r="I285" s="11" t="inlineStr"/>
      <c r="J285" s="40" t="inlineStr">
        <is>
          <t>🔥 Без сайту</t>
        </is>
      </c>
      <c r="K285" s="39" t="inlineStr">
        <is>
          <t>❌</t>
        </is>
      </c>
      <c r="L285" s="16" t="inlineStr">
        <is>
          <t>❌</t>
        </is>
      </c>
      <c r="M285" s="38" t="inlineStr">
        <is>
          <t>🟢 A</t>
        </is>
      </c>
      <c r="N285" s="10" t="inlineStr"/>
      <c r="O285" s="10" t="inlineStr"/>
      <c r="P285" s="11" t="inlineStr">
        <is>
          <t>—</t>
        </is>
      </c>
      <c r="Q285" s="11" t="inlineStr"/>
      <c r="R285" s="18" t="n"/>
      <c r="S285" s="11" t="inlineStr"/>
      <c r="T285" s="19" t="inlineStr">
        <is>
          <t>🟡 Новий</t>
        </is>
      </c>
      <c r="U285" s="10" t="inlineStr"/>
      <c r="V285" s="18" t="n"/>
      <c r="W285" s="10" t="inlineStr"/>
    </row>
    <row r="286" ht="20" customHeight="1">
      <c r="A286" s="20" t="n">
        <v>284</v>
      </c>
      <c r="B286" s="21" t="inlineStr">
        <is>
          <t>Злагода</t>
        </is>
      </c>
      <c r="C286" s="21" t="inlineStr">
        <is>
          <t>Львів</t>
        </is>
      </c>
      <c r="D286" s="23" t="inlineStr"/>
      <c r="E286" s="23" t="inlineStr"/>
      <c r="F286" s="23" t="inlineStr"/>
      <c r="G286" s="25" t="inlineStr">
        <is>
          <t>📍</t>
        </is>
      </c>
      <c r="H286" s="23" t="inlineStr"/>
      <c r="I286" s="23" t="inlineStr"/>
      <c r="J286" s="40" t="inlineStr">
        <is>
          <t>🔥 Без сайту</t>
        </is>
      </c>
      <c r="K286" s="37" t="inlineStr">
        <is>
          <t>❌</t>
        </is>
      </c>
      <c r="L286" s="27" t="inlineStr">
        <is>
          <t>❌</t>
        </is>
      </c>
      <c r="M286" s="38" t="inlineStr">
        <is>
          <t>🟢 A</t>
        </is>
      </c>
      <c r="N286" s="21" t="inlineStr"/>
      <c r="O286" s="21" t="inlineStr"/>
      <c r="P286" s="23" t="inlineStr">
        <is>
          <t>—</t>
        </is>
      </c>
      <c r="Q286" s="23" t="inlineStr"/>
      <c r="R286" s="28" t="n"/>
      <c r="S286" s="23" t="inlineStr"/>
      <c r="T286" s="19" t="inlineStr">
        <is>
          <t>🟡 Новий</t>
        </is>
      </c>
      <c r="U286" s="21" t="inlineStr"/>
      <c r="V286" s="28" t="n"/>
      <c r="W286" s="21" t="inlineStr"/>
    </row>
    <row r="287" ht="20" customHeight="1">
      <c r="A287" s="9" t="n">
        <v>285</v>
      </c>
      <c r="B287" s="10" t="inlineStr">
        <is>
          <t>Зодіак</t>
        </is>
      </c>
      <c r="C287" s="10" t="inlineStr">
        <is>
          <t>Львів</t>
        </is>
      </c>
      <c r="D287" s="11" t="inlineStr"/>
      <c r="E287" s="11" t="inlineStr"/>
      <c r="F287" s="11" t="inlineStr"/>
      <c r="G287" s="13" t="inlineStr">
        <is>
          <t>📍</t>
        </is>
      </c>
      <c r="H287" s="11" t="inlineStr"/>
      <c r="I287" s="11" t="inlineStr"/>
      <c r="J287" s="40" t="inlineStr">
        <is>
          <t>🔥 Без сайту</t>
        </is>
      </c>
      <c r="K287" s="39" t="inlineStr">
        <is>
          <t>❌</t>
        </is>
      </c>
      <c r="L287" s="16" t="inlineStr">
        <is>
          <t>❌</t>
        </is>
      </c>
      <c r="M287" s="38" t="inlineStr">
        <is>
          <t>🟢 A</t>
        </is>
      </c>
      <c r="N287" s="10" t="inlineStr"/>
      <c r="O287" s="10" t="inlineStr"/>
      <c r="P287" s="11" t="inlineStr">
        <is>
          <t>—</t>
        </is>
      </c>
      <c r="Q287" s="11" t="inlineStr"/>
      <c r="R287" s="18" t="n"/>
      <c r="S287" s="11" t="inlineStr"/>
      <c r="T287" s="19" t="inlineStr">
        <is>
          <t>🟡 Новий</t>
        </is>
      </c>
      <c r="U287" s="10" t="inlineStr"/>
      <c r="V287" s="18" t="n"/>
      <c r="W287" s="10" t="inlineStr"/>
    </row>
    <row r="288" ht="20" customHeight="1">
      <c r="A288" s="20" t="n">
        <v>286</v>
      </c>
      <c r="B288" s="21" t="inlineStr">
        <is>
          <t>Золота Гуса</t>
        </is>
      </c>
      <c r="C288" s="21" t="inlineStr">
        <is>
          <t>Львів</t>
        </is>
      </c>
      <c r="D288" s="23" t="inlineStr"/>
      <c r="E288" s="23" t="inlineStr"/>
      <c r="F288" s="23" t="inlineStr"/>
      <c r="G288" s="25" t="inlineStr">
        <is>
          <t>📍</t>
        </is>
      </c>
      <c r="H288" s="23" t="inlineStr"/>
      <c r="I288" s="23" t="inlineStr"/>
      <c r="J288" s="40" t="inlineStr">
        <is>
          <t>🔥 Без сайту</t>
        </is>
      </c>
      <c r="K288" s="37" t="inlineStr">
        <is>
          <t>❌</t>
        </is>
      </c>
      <c r="L288" s="27" t="inlineStr">
        <is>
          <t>❌</t>
        </is>
      </c>
      <c r="M288" s="38" t="inlineStr">
        <is>
          <t>🟢 A</t>
        </is>
      </c>
      <c r="N288" s="21" t="inlineStr"/>
      <c r="O288" s="21" t="inlineStr"/>
      <c r="P288" s="23" t="inlineStr">
        <is>
          <t>—</t>
        </is>
      </c>
      <c r="Q288" s="23" t="inlineStr"/>
      <c r="R288" s="28" t="n"/>
      <c r="S288" s="23" t="inlineStr"/>
      <c r="T288" s="19" t="inlineStr">
        <is>
          <t>🟡 Новий</t>
        </is>
      </c>
      <c r="U288" s="21" t="inlineStr"/>
      <c r="V288" s="28" t="n"/>
      <c r="W288" s="21" t="inlineStr"/>
    </row>
    <row r="289" ht="20" customHeight="1">
      <c r="A289" s="9" t="n">
        <v>287</v>
      </c>
      <c r="B289" s="10" t="inlineStr">
        <is>
          <t>Золотий Вепр</t>
        </is>
      </c>
      <c r="C289" s="10" t="inlineStr">
        <is>
          <t>Львів</t>
        </is>
      </c>
      <c r="D289" s="33" t="inlineStr">
        <is>
          <t>+380 322 40 3494;+380 63 807 5450</t>
        </is>
      </c>
      <c r="E289" s="11" t="inlineStr"/>
      <c r="F289" s="11" t="inlineStr"/>
      <c r="G289" s="13" t="inlineStr">
        <is>
          <t>📍</t>
        </is>
      </c>
      <c r="H289" s="11" t="inlineStr"/>
      <c r="I289" s="11" t="inlineStr"/>
      <c r="J289" s="40" t="inlineStr">
        <is>
          <t>🔥 Без сайту</t>
        </is>
      </c>
      <c r="K289" s="39" t="inlineStr">
        <is>
          <t>❌</t>
        </is>
      </c>
      <c r="L289" s="16" t="inlineStr">
        <is>
          <t>❌</t>
        </is>
      </c>
      <c r="M289" s="38" t="inlineStr">
        <is>
          <t>🟢 A</t>
        </is>
      </c>
      <c r="N289" s="10" t="inlineStr"/>
      <c r="O289" s="10" t="inlineStr"/>
      <c r="P289" s="11" t="inlineStr">
        <is>
          <t>—</t>
        </is>
      </c>
      <c r="Q289" s="11" t="inlineStr"/>
      <c r="R289" s="18" t="n"/>
      <c r="S289" s="11" t="inlineStr"/>
      <c r="T289" s="19" t="inlineStr">
        <is>
          <t>🟡 Новий</t>
        </is>
      </c>
      <c r="U289" s="10" t="inlineStr"/>
      <c r="V289" s="18" t="n"/>
      <c r="W289" s="10" t="inlineStr"/>
    </row>
    <row r="290" ht="20" customHeight="1">
      <c r="A290" s="20" t="n">
        <v>288</v>
      </c>
      <c r="B290" s="21" t="inlineStr">
        <is>
          <t>Золотий Фенікс</t>
        </is>
      </c>
      <c r="C290" s="21" t="inlineStr">
        <is>
          <t>вул. Насипна вулиця, 1, Львів</t>
        </is>
      </c>
      <c r="D290" s="23" t="inlineStr"/>
      <c r="E290" s="23" t="inlineStr"/>
      <c r="F290" s="23" t="inlineStr"/>
      <c r="G290" s="25" t="inlineStr">
        <is>
          <t>📍</t>
        </is>
      </c>
      <c r="H290" s="23" t="inlineStr"/>
      <c r="I290" s="23" t="inlineStr"/>
      <c r="J290" s="40" t="inlineStr">
        <is>
          <t>🔥 Без сайту</t>
        </is>
      </c>
      <c r="K290" s="37" t="inlineStr">
        <is>
          <t>❌</t>
        </is>
      </c>
      <c r="L290" s="27" t="inlineStr">
        <is>
          <t>❌</t>
        </is>
      </c>
      <c r="M290" s="38" t="inlineStr">
        <is>
          <t>🟢 A</t>
        </is>
      </c>
      <c r="N290" s="21" t="inlineStr"/>
      <c r="O290" s="21" t="inlineStr"/>
      <c r="P290" s="23" t="inlineStr">
        <is>
          <t>—</t>
        </is>
      </c>
      <c r="Q290" s="23" t="inlineStr"/>
      <c r="R290" s="28" t="n"/>
      <c r="S290" s="23" t="inlineStr"/>
      <c r="T290" s="19" t="inlineStr">
        <is>
          <t>🟡 Новий</t>
        </is>
      </c>
      <c r="U290" s="21" t="inlineStr"/>
      <c r="V290" s="28" t="n"/>
      <c r="W290" s="21" t="inlineStr"/>
    </row>
    <row r="291" ht="20" customHeight="1">
      <c r="A291" s="9" t="n">
        <v>289</v>
      </c>
      <c r="B291" s="10" t="inlineStr">
        <is>
          <t>Золотий дукат</t>
        </is>
      </c>
      <c r="C291" s="10" t="inlineStr">
        <is>
          <t>Львів</t>
        </is>
      </c>
      <c r="D291" s="11" t="inlineStr"/>
      <c r="E291" s="11" t="inlineStr"/>
      <c r="F291" s="11" t="inlineStr"/>
      <c r="G291" s="13" t="inlineStr">
        <is>
          <t>📍</t>
        </is>
      </c>
      <c r="H291" s="11" t="inlineStr"/>
      <c r="I291" s="11" t="inlineStr"/>
      <c r="J291" s="40" t="inlineStr">
        <is>
          <t>🔥 Без сайту</t>
        </is>
      </c>
      <c r="K291" s="39" t="inlineStr">
        <is>
          <t>❌</t>
        </is>
      </c>
      <c r="L291" s="16" t="inlineStr">
        <is>
          <t>❌</t>
        </is>
      </c>
      <c r="M291" s="38" t="inlineStr">
        <is>
          <t>🟢 A</t>
        </is>
      </c>
      <c r="N291" s="10" t="inlineStr"/>
      <c r="O291" s="10" t="inlineStr"/>
      <c r="P291" s="11" t="inlineStr">
        <is>
          <t>—</t>
        </is>
      </c>
      <c r="Q291" s="11" t="inlineStr"/>
      <c r="R291" s="18" t="n"/>
      <c r="S291" s="11" t="inlineStr"/>
      <c r="T291" s="19" t="inlineStr">
        <is>
          <t>🟡 Новий</t>
        </is>
      </c>
      <c r="U291" s="10" t="inlineStr"/>
      <c r="V291" s="18" t="n"/>
      <c r="W291" s="10" t="inlineStr"/>
    </row>
    <row r="292" ht="20" customHeight="1">
      <c r="A292" s="20" t="n">
        <v>290</v>
      </c>
      <c r="B292" s="21" t="inlineStr">
        <is>
          <t>Зустріч</t>
        </is>
      </c>
      <c r="C292" s="21" t="inlineStr">
        <is>
          <t>Львів</t>
        </is>
      </c>
      <c r="D292" s="23" t="inlineStr"/>
      <c r="E292" s="23" t="inlineStr"/>
      <c r="F292" s="23" t="inlineStr"/>
      <c r="G292" s="25" t="inlineStr">
        <is>
          <t>📍</t>
        </is>
      </c>
      <c r="H292" s="23" t="inlineStr"/>
      <c r="I292" s="23" t="inlineStr"/>
      <c r="J292" s="40" t="inlineStr">
        <is>
          <t>🔥 Без сайту</t>
        </is>
      </c>
      <c r="K292" s="37" t="inlineStr">
        <is>
          <t>❌</t>
        </is>
      </c>
      <c r="L292" s="27" t="inlineStr">
        <is>
          <t>❌</t>
        </is>
      </c>
      <c r="M292" s="38" t="inlineStr">
        <is>
          <t>🟢 A</t>
        </is>
      </c>
      <c r="N292" s="21" t="inlineStr"/>
      <c r="O292" s="21" t="inlineStr"/>
      <c r="P292" s="23" t="inlineStr">
        <is>
          <t>—</t>
        </is>
      </c>
      <c r="Q292" s="23" t="inlineStr"/>
      <c r="R292" s="28" t="n"/>
      <c r="S292" s="23" t="inlineStr"/>
      <c r="T292" s="19" t="inlineStr">
        <is>
          <t>🟡 Новий</t>
        </is>
      </c>
      <c r="U292" s="21" t="inlineStr"/>
      <c r="V292" s="28" t="n"/>
      <c r="W292" s="21" t="inlineStr"/>
    </row>
    <row r="293" ht="20" customHeight="1">
      <c r="A293" s="9" t="n">
        <v>291</v>
      </c>
      <c r="B293" s="10" t="inlineStr">
        <is>
          <t>КРЕДЕНС КАФЕ</t>
        </is>
      </c>
      <c r="C293" s="10" t="inlineStr">
        <is>
          <t>Львів</t>
        </is>
      </c>
      <c r="D293" s="11" t="inlineStr"/>
      <c r="E293" s="11" t="inlineStr"/>
      <c r="F293" s="11" t="inlineStr"/>
      <c r="G293" s="13" t="inlineStr">
        <is>
          <t>📍</t>
        </is>
      </c>
      <c r="H293" s="11" t="inlineStr"/>
      <c r="I293" s="11" t="inlineStr"/>
      <c r="J293" s="40" t="inlineStr">
        <is>
          <t>🔥 Без сайту</t>
        </is>
      </c>
      <c r="K293" s="39" t="inlineStr">
        <is>
          <t>❌</t>
        </is>
      </c>
      <c r="L293" s="16" t="inlineStr">
        <is>
          <t>❌</t>
        </is>
      </c>
      <c r="M293" s="38" t="inlineStr">
        <is>
          <t>🟢 A</t>
        </is>
      </c>
      <c r="N293" s="10" t="inlineStr"/>
      <c r="O293" s="10" t="inlineStr"/>
      <c r="P293" s="11" t="inlineStr">
        <is>
          <t>—</t>
        </is>
      </c>
      <c r="Q293" s="11" t="inlineStr"/>
      <c r="R293" s="18" t="n"/>
      <c r="S293" s="11" t="inlineStr"/>
      <c r="T293" s="19" t="inlineStr">
        <is>
          <t>🟡 Новий</t>
        </is>
      </c>
      <c r="U293" s="10" t="inlineStr"/>
      <c r="V293" s="18" t="n"/>
      <c r="W293" s="10" t="inlineStr"/>
    </row>
    <row r="294" ht="20" customHeight="1">
      <c r="A294" s="20" t="n">
        <v>292</v>
      </c>
      <c r="B294" s="21" t="inlineStr">
        <is>
          <t>Кав'ярня</t>
        </is>
      </c>
      <c r="C294" s="21" t="inlineStr">
        <is>
          <t>Львів</t>
        </is>
      </c>
      <c r="D294" s="23" t="inlineStr"/>
      <c r="E294" s="23" t="inlineStr"/>
      <c r="F294" s="23" t="inlineStr"/>
      <c r="G294" s="25" t="inlineStr">
        <is>
          <t>📍</t>
        </is>
      </c>
      <c r="H294" s="23" t="inlineStr"/>
      <c r="I294" s="23" t="inlineStr"/>
      <c r="J294" s="40" t="inlineStr">
        <is>
          <t>🔥 Без сайту</t>
        </is>
      </c>
      <c r="K294" s="37" t="inlineStr">
        <is>
          <t>❌</t>
        </is>
      </c>
      <c r="L294" s="27" t="inlineStr">
        <is>
          <t>❌</t>
        </is>
      </c>
      <c r="M294" s="38" t="inlineStr">
        <is>
          <t>🟢 A</t>
        </is>
      </c>
      <c r="N294" s="21" t="inlineStr"/>
      <c r="O294" s="21" t="inlineStr"/>
      <c r="P294" s="23" t="inlineStr">
        <is>
          <t>—</t>
        </is>
      </c>
      <c r="Q294" s="23" t="inlineStr"/>
      <c r="R294" s="28" t="n"/>
      <c r="S294" s="23" t="inlineStr"/>
      <c r="T294" s="19" t="inlineStr">
        <is>
          <t>🟡 Новий</t>
        </is>
      </c>
      <c r="U294" s="21" t="inlineStr"/>
      <c r="V294" s="28" t="n"/>
      <c r="W294" s="21" t="inlineStr"/>
    </row>
    <row r="295" ht="20" customHeight="1">
      <c r="A295" s="9" t="n">
        <v>293</v>
      </c>
      <c r="B295" s="10" t="inlineStr">
        <is>
          <t>Кав'ярня Special Forces 1</t>
        </is>
      </c>
      <c r="C295" s="10" t="inlineStr">
        <is>
          <t>вул. Руська вулиця, 6, Львів</t>
        </is>
      </c>
      <c r="D295" s="11" t="inlineStr"/>
      <c r="E295" s="11" t="inlineStr"/>
      <c r="F295" s="11" t="inlineStr"/>
      <c r="G295" s="13" t="inlineStr">
        <is>
          <t>📍</t>
        </is>
      </c>
      <c r="H295" s="11" t="inlineStr"/>
      <c r="I295" s="11" t="inlineStr"/>
      <c r="J295" s="40" t="inlineStr">
        <is>
          <t>🔥 Без сайту</t>
        </is>
      </c>
      <c r="K295" s="39" t="inlineStr">
        <is>
          <t>❌</t>
        </is>
      </c>
      <c r="L295" s="16" t="inlineStr">
        <is>
          <t>❌</t>
        </is>
      </c>
      <c r="M295" s="38" t="inlineStr">
        <is>
          <t>🟢 A</t>
        </is>
      </c>
      <c r="N295" s="10" t="inlineStr"/>
      <c r="O295" s="10" t="inlineStr"/>
      <c r="P295" s="11" t="inlineStr">
        <is>
          <t>—</t>
        </is>
      </c>
      <c r="Q295" s="11" t="inlineStr"/>
      <c r="R295" s="18" t="n"/>
      <c r="S295" s="11" t="inlineStr"/>
      <c r="T295" s="19" t="inlineStr">
        <is>
          <t>🟡 Новий</t>
        </is>
      </c>
      <c r="U295" s="10" t="inlineStr"/>
      <c r="V295" s="18" t="n"/>
      <c r="W295" s="10" t="inlineStr"/>
    </row>
    <row r="296" ht="20" customHeight="1">
      <c r="A296" s="20" t="n">
        <v>294</v>
      </c>
      <c r="B296" s="21" t="inlineStr">
        <is>
          <t>Кав'ярня УКУ</t>
        </is>
      </c>
      <c r="C296" s="21" t="inlineStr">
        <is>
          <t>вул. Kozelnytska Street, 2А, Львів</t>
        </is>
      </c>
      <c r="D296" s="23" t="inlineStr"/>
      <c r="E296" s="23" t="inlineStr"/>
      <c r="F296" s="23" t="inlineStr"/>
      <c r="G296" s="25" t="inlineStr">
        <is>
          <t>📍</t>
        </is>
      </c>
      <c r="H296" s="23" t="inlineStr"/>
      <c r="I296" s="23" t="inlineStr"/>
      <c r="J296" s="40" t="inlineStr">
        <is>
          <t>🔥 Без сайту</t>
        </is>
      </c>
      <c r="K296" s="37" t="inlineStr">
        <is>
          <t>❌</t>
        </is>
      </c>
      <c r="L296" s="27" t="inlineStr">
        <is>
          <t>❌</t>
        </is>
      </c>
      <c r="M296" s="38" t="inlineStr">
        <is>
          <t>🟢 A</t>
        </is>
      </c>
      <c r="N296" s="21" t="inlineStr"/>
      <c r="O296" s="21" t="inlineStr"/>
      <c r="P296" s="23" t="inlineStr">
        <is>
          <t>—</t>
        </is>
      </c>
      <c r="Q296" s="23" t="inlineStr"/>
      <c r="R296" s="28" t="n"/>
      <c r="S296" s="23" t="inlineStr"/>
      <c r="T296" s="19" t="inlineStr">
        <is>
          <t>🟡 Новий</t>
        </is>
      </c>
      <c r="U296" s="21" t="inlineStr"/>
      <c r="V296" s="28" t="n"/>
      <c r="W296" s="21" t="inlineStr"/>
    </row>
    <row r="297" ht="20" customHeight="1">
      <c r="A297" s="9" t="n">
        <v>295</v>
      </c>
      <c r="B297" s="10" t="inlineStr">
        <is>
          <t>Кава</t>
        </is>
      </c>
      <c r="C297" s="10" t="inlineStr">
        <is>
          <t>Львів</t>
        </is>
      </c>
      <c r="D297" s="11" t="inlineStr"/>
      <c r="E297" s="11" t="inlineStr"/>
      <c r="F297" s="11" t="inlineStr"/>
      <c r="G297" s="13" t="inlineStr">
        <is>
          <t>📍</t>
        </is>
      </c>
      <c r="H297" s="11" t="inlineStr"/>
      <c r="I297" s="11" t="inlineStr"/>
      <c r="J297" s="40" t="inlineStr">
        <is>
          <t>🔥 Без сайту</t>
        </is>
      </c>
      <c r="K297" s="39" t="inlineStr">
        <is>
          <t>❌</t>
        </is>
      </c>
      <c r="L297" s="16" t="inlineStr">
        <is>
          <t>❌</t>
        </is>
      </c>
      <c r="M297" s="38" t="inlineStr">
        <is>
          <t>🟢 A</t>
        </is>
      </c>
      <c r="N297" s="10" t="inlineStr"/>
      <c r="O297" s="10" t="inlineStr"/>
      <c r="P297" s="11" t="inlineStr">
        <is>
          <t>—</t>
        </is>
      </c>
      <c r="Q297" s="11" t="inlineStr"/>
      <c r="R297" s="18" t="n"/>
      <c r="S297" s="11" t="inlineStr"/>
      <c r="T297" s="19" t="inlineStr">
        <is>
          <t>🟡 Новий</t>
        </is>
      </c>
      <c r="U297" s="10" t="inlineStr"/>
      <c r="V297" s="18" t="n"/>
      <c r="W297" s="10" t="inlineStr"/>
    </row>
    <row r="298" ht="20" customHeight="1">
      <c r="A298" s="20" t="n">
        <v>296</v>
      </c>
      <c r="B298" s="21" t="inlineStr">
        <is>
          <t>Кава КАРП</t>
        </is>
      </c>
      <c r="C298" s="21" t="inlineStr">
        <is>
          <t>Львів</t>
        </is>
      </c>
      <c r="D298" s="23" t="inlineStr"/>
      <c r="E298" s="23" t="inlineStr"/>
      <c r="F298" s="23" t="inlineStr"/>
      <c r="G298" s="25" t="inlineStr">
        <is>
          <t>📍</t>
        </is>
      </c>
      <c r="H298" s="23" t="inlineStr"/>
      <c r="I298" s="23" t="inlineStr"/>
      <c r="J298" s="40" t="inlineStr">
        <is>
          <t>🔥 Без сайту</t>
        </is>
      </c>
      <c r="K298" s="37" t="inlineStr">
        <is>
          <t>❌</t>
        </is>
      </c>
      <c r="L298" s="27" t="inlineStr">
        <is>
          <t>❌</t>
        </is>
      </c>
      <c r="M298" s="38" t="inlineStr">
        <is>
          <t>🟢 A</t>
        </is>
      </c>
      <c r="N298" s="21" t="inlineStr"/>
      <c r="O298" s="21" t="inlineStr"/>
      <c r="P298" s="23" t="inlineStr">
        <is>
          <t>—</t>
        </is>
      </c>
      <c r="Q298" s="23" t="inlineStr"/>
      <c r="R298" s="28" t="n"/>
      <c r="S298" s="23" t="inlineStr"/>
      <c r="T298" s="19" t="inlineStr">
        <is>
          <t>🟡 Новий</t>
        </is>
      </c>
      <c r="U298" s="21" t="inlineStr"/>
      <c r="V298" s="28" t="n"/>
      <c r="W298" s="21" t="inlineStr"/>
    </row>
    <row r="299" ht="20" customHeight="1">
      <c r="A299" s="9" t="n">
        <v>297</v>
      </c>
      <c r="B299" s="10" t="inlineStr">
        <is>
          <t>Кава з молоком</t>
        </is>
      </c>
      <c r="C299" s="10" t="inlineStr">
        <is>
          <t>Львів</t>
        </is>
      </c>
      <c r="D299" s="11" t="inlineStr"/>
      <c r="E299" s="11" t="inlineStr"/>
      <c r="F299" s="11" t="inlineStr"/>
      <c r="G299" s="13" t="inlineStr">
        <is>
          <t>📍</t>
        </is>
      </c>
      <c r="H299" s="11" t="inlineStr"/>
      <c r="I299" s="11" t="inlineStr"/>
      <c r="J299" s="40" t="inlineStr">
        <is>
          <t>🔥 Без сайту</t>
        </is>
      </c>
      <c r="K299" s="39" t="inlineStr">
        <is>
          <t>❌</t>
        </is>
      </c>
      <c r="L299" s="16" t="inlineStr">
        <is>
          <t>❌</t>
        </is>
      </c>
      <c r="M299" s="38" t="inlineStr">
        <is>
          <t>🟢 A</t>
        </is>
      </c>
      <c r="N299" s="10" t="inlineStr"/>
      <c r="O299" s="10" t="inlineStr"/>
      <c r="P299" s="11" t="inlineStr">
        <is>
          <t>—</t>
        </is>
      </c>
      <c r="Q299" s="11" t="inlineStr"/>
      <c r="R299" s="18" t="n"/>
      <c r="S299" s="11" t="inlineStr"/>
      <c r="T299" s="19" t="inlineStr">
        <is>
          <t>🟡 Новий</t>
        </is>
      </c>
      <c r="U299" s="10" t="inlineStr"/>
      <c r="V299" s="18" t="n"/>
      <c r="W299" s="10" t="inlineStr"/>
    </row>
    <row r="300" ht="20" customHeight="1">
      <c r="A300" s="20" t="n">
        <v>298</v>
      </c>
      <c r="B300" s="21" t="inlineStr">
        <is>
          <t>Кава з собою</t>
        </is>
      </c>
      <c r="C300" s="21" t="inlineStr">
        <is>
          <t>Львів</t>
        </is>
      </c>
      <c r="D300" s="23" t="inlineStr"/>
      <c r="E300" s="23" t="inlineStr"/>
      <c r="F300" s="23" t="inlineStr"/>
      <c r="G300" s="25" t="inlineStr">
        <is>
          <t>📍</t>
        </is>
      </c>
      <c r="H300" s="23" t="inlineStr"/>
      <c r="I300" s="23" t="inlineStr"/>
      <c r="J300" s="40" t="inlineStr">
        <is>
          <t>🔥 Без сайту</t>
        </is>
      </c>
      <c r="K300" s="37" t="inlineStr">
        <is>
          <t>❌</t>
        </is>
      </c>
      <c r="L300" s="27" t="inlineStr">
        <is>
          <t>❌</t>
        </is>
      </c>
      <c r="M300" s="38" t="inlineStr">
        <is>
          <t>🟢 A</t>
        </is>
      </c>
      <c r="N300" s="21" t="inlineStr"/>
      <c r="O300" s="21" t="inlineStr"/>
      <c r="P300" s="23" t="inlineStr">
        <is>
          <t>—</t>
        </is>
      </c>
      <c r="Q300" s="23" t="inlineStr"/>
      <c r="R300" s="28" t="n"/>
      <c r="S300" s="23" t="inlineStr"/>
      <c r="T300" s="19" t="inlineStr">
        <is>
          <t>🟡 Новий</t>
        </is>
      </c>
      <c r="U300" s="21" t="inlineStr"/>
      <c r="V300" s="28" t="n"/>
      <c r="W300" s="21" t="inlineStr"/>
    </row>
    <row r="301" ht="20" customHeight="1">
      <c r="A301" s="9" t="n">
        <v>299</v>
      </c>
      <c r="B301" s="10" t="inlineStr">
        <is>
          <t>Кава, капучіно, канапки</t>
        </is>
      </c>
      <c r="C301" s="10" t="inlineStr">
        <is>
          <t>Львів</t>
        </is>
      </c>
      <c r="D301" s="11" t="inlineStr"/>
      <c r="E301" s="11" t="inlineStr"/>
      <c r="F301" s="11" t="inlineStr"/>
      <c r="G301" s="13" t="inlineStr">
        <is>
          <t>📍</t>
        </is>
      </c>
      <c r="H301" s="11" t="inlineStr"/>
      <c r="I301" s="11" t="inlineStr"/>
      <c r="J301" s="40" t="inlineStr">
        <is>
          <t>🔥 Без сайту</t>
        </is>
      </c>
      <c r="K301" s="39" t="inlineStr">
        <is>
          <t>❌</t>
        </is>
      </c>
      <c r="L301" s="16" t="inlineStr">
        <is>
          <t>❌</t>
        </is>
      </c>
      <c r="M301" s="38" t="inlineStr">
        <is>
          <t>🟢 A</t>
        </is>
      </c>
      <c r="N301" s="10" t="inlineStr"/>
      <c r="O301" s="10" t="inlineStr"/>
      <c r="P301" s="11" t="inlineStr">
        <is>
          <t>—</t>
        </is>
      </c>
      <c r="Q301" s="11" t="inlineStr"/>
      <c r="R301" s="18" t="n"/>
      <c r="S301" s="11" t="inlineStr"/>
      <c r="T301" s="19" t="inlineStr">
        <is>
          <t>🟡 Новий</t>
        </is>
      </c>
      <c r="U301" s="10" t="inlineStr"/>
      <c r="V301" s="18" t="n"/>
      <c r="W301" s="10" t="inlineStr"/>
    </row>
    <row r="302" ht="20" customHeight="1">
      <c r="A302" s="20" t="n">
        <v>300</v>
      </c>
      <c r="B302" s="21" t="inlineStr">
        <is>
          <t>Кавова Мапа</t>
        </is>
      </c>
      <c r="C302" s="21" t="inlineStr">
        <is>
          <t>Львів</t>
        </is>
      </c>
      <c r="D302" s="23" t="inlineStr"/>
      <c r="E302" s="23" t="inlineStr"/>
      <c r="F302" s="23" t="inlineStr"/>
      <c r="G302" s="25" t="inlineStr">
        <is>
          <t>📍</t>
        </is>
      </c>
      <c r="H302" s="23" t="inlineStr"/>
      <c r="I302" s="23" t="inlineStr"/>
      <c r="J302" s="40" t="inlineStr">
        <is>
          <t>🔥 Без сайту</t>
        </is>
      </c>
      <c r="K302" s="37" t="inlineStr">
        <is>
          <t>❌</t>
        </is>
      </c>
      <c r="L302" s="27" t="inlineStr">
        <is>
          <t>❌</t>
        </is>
      </c>
      <c r="M302" s="38" t="inlineStr">
        <is>
          <t>🟢 A</t>
        </is>
      </c>
      <c r="N302" s="21" t="inlineStr"/>
      <c r="O302" s="21" t="inlineStr"/>
      <c r="P302" s="23" t="inlineStr">
        <is>
          <t>—</t>
        </is>
      </c>
      <c r="Q302" s="23" t="inlineStr"/>
      <c r="R302" s="28" t="n"/>
      <c r="S302" s="23" t="inlineStr"/>
      <c r="T302" s="19" t="inlineStr">
        <is>
          <t>🟡 Новий</t>
        </is>
      </c>
      <c r="U302" s="21" t="inlineStr"/>
      <c r="V302" s="28" t="n"/>
      <c r="W302" s="21" t="inlineStr"/>
    </row>
    <row r="303" ht="20" customHeight="1">
      <c r="A303" s="9" t="n">
        <v>301</v>
      </c>
      <c r="B303" s="10" t="inlineStr">
        <is>
          <t>Кавова ложа</t>
        </is>
      </c>
      <c r="C303" s="10" t="inlineStr">
        <is>
          <t>Львів</t>
        </is>
      </c>
      <c r="D303" s="11" t="inlineStr"/>
      <c r="E303" s="11" t="inlineStr"/>
      <c r="F303" s="11" t="inlineStr"/>
      <c r="G303" s="13" t="inlineStr">
        <is>
          <t>📍</t>
        </is>
      </c>
      <c r="H303" s="11" t="inlineStr"/>
      <c r="I303" s="11" t="inlineStr"/>
      <c r="J303" s="40" t="inlineStr">
        <is>
          <t>🔥 Без сайту</t>
        </is>
      </c>
      <c r="K303" s="39" t="inlineStr">
        <is>
          <t>❌</t>
        </is>
      </c>
      <c r="L303" s="16" t="inlineStr">
        <is>
          <t>❌</t>
        </is>
      </c>
      <c r="M303" s="38" t="inlineStr">
        <is>
          <t>🟢 A</t>
        </is>
      </c>
      <c r="N303" s="10" t="inlineStr"/>
      <c r="O303" s="10" t="inlineStr"/>
      <c r="P303" s="11" t="inlineStr">
        <is>
          <t>—</t>
        </is>
      </c>
      <c r="Q303" s="11" t="inlineStr"/>
      <c r="R303" s="18" t="n"/>
      <c r="S303" s="11" t="inlineStr"/>
      <c r="T303" s="19" t="inlineStr">
        <is>
          <t>🟡 Новий</t>
        </is>
      </c>
      <c r="U303" s="10" t="inlineStr"/>
      <c r="V303" s="18" t="n"/>
      <c r="W303" s="10" t="inlineStr"/>
    </row>
    <row r="304" ht="20" customHeight="1">
      <c r="A304" s="20" t="n">
        <v>302</v>
      </c>
      <c r="B304" s="21" t="inlineStr">
        <is>
          <t>Кавовий Рай</t>
        </is>
      </c>
      <c r="C304" s="21" t="inlineStr">
        <is>
          <t>Львів</t>
        </is>
      </c>
      <c r="D304" s="23" t="inlineStr"/>
      <c r="E304" s="23" t="inlineStr"/>
      <c r="F304" s="23" t="inlineStr"/>
      <c r="G304" s="25" t="inlineStr">
        <is>
          <t>📍</t>
        </is>
      </c>
      <c r="H304" s="23" t="inlineStr"/>
      <c r="I304" s="23" t="inlineStr"/>
      <c r="J304" s="40" t="inlineStr">
        <is>
          <t>🔥 Без сайту</t>
        </is>
      </c>
      <c r="K304" s="37" t="inlineStr">
        <is>
          <t>❌</t>
        </is>
      </c>
      <c r="L304" s="27" t="inlineStr">
        <is>
          <t>❌</t>
        </is>
      </c>
      <c r="M304" s="38" t="inlineStr">
        <is>
          <t>🟢 A</t>
        </is>
      </c>
      <c r="N304" s="21" t="inlineStr"/>
      <c r="O304" s="21" t="inlineStr"/>
      <c r="P304" s="23" t="inlineStr">
        <is>
          <t>—</t>
        </is>
      </c>
      <c r="Q304" s="23" t="inlineStr"/>
      <c r="R304" s="28" t="n"/>
      <c r="S304" s="23" t="inlineStr"/>
      <c r="T304" s="19" t="inlineStr">
        <is>
          <t>🟡 Новий</t>
        </is>
      </c>
      <c r="U304" s="21" t="inlineStr"/>
      <c r="V304" s="28" t="n"/>
      <c r="W304" s="21" t="inlineStr"/>
    </row>
    <row r="305" ht="20" customHeight="1">
      <c r="A305" s="9" t="n">
        <v>303</v>
      </c>
      <c r="B305" s="10" t="inlineStr">
        <is>
          <t>Кавоманія</t>
        </is>
      </c>
      <c r="C305" s="10" t="inlineStr">
        <is>
          <t>Львів</t>
        </is>
      </c>
      <c r="D305" s="11" t="inlineStr"/>
      <c r="E305" s="11" t="inlineStr"/>
      <c r="F305" s="11" t="inlineStr"/>
      <c r="G305" s="13" t="inlineStr">
        <is>
          <t>📍</t>
        </is>
      </c>
      <c r="H305" s="11" t="inlineStr"/>
      <c r="I305" s="11" t="inlineStr"/>
      <c r="J305" s="40" t="inlineStr">
        <is>
          <t>🔥 Без сайту</t>
        </is>
      </c>
      <c r="K305" s="39" t="inlineStr">
        <is>
          <t>❌</t>
        </is>
      </c>
      <c r="L305" s="16" t="inlineStr">
        <is>
          <t>❌</t>
        </is>
      </c>
      <c r="M305" s="38" t="inlineStr">
        <is>
          <t>🟢 A</t>
        </is>
      </c>
      <c r="N305" s="10" t="inlineStr"/>
      <c r="O305" s="10" t="inlineStr"/>
      <c r="P305" s="11" t="inlineStr">
        <is>
          <t>—</t>
        </is>
      </c>
      <c r="Q305" s="11" t="inlineStr"/>
      <c r="R305" s="18" t="n"/>
      <c r="S305" s="11" t="inlineStr"/>
      <c r="T305" s="19" t="inlineStr">
        <is>
          <t>🟡 Новий</t>
        </is>
      </c>
      <c r="U305" s="10" t="inlineStr"/>
      <c r="V305" s="18" t="n"/>
      <c r="W305" s="10" t="inlineStr"/>
    </row>
    <row r="306" ht="20" customHeight="1">
      <c r="A306" s="20" t="n">
        <v>304</v>
      </c>
      <c r="B306" s="21" t="inlineStr">
        <is>
          <t>Казка</t>
        </is>
      </c>
      <c r="C306" s="21" t="inlineStr">
        <is>
          <t>Львів</t>
        </is>
      </c>
      <c r="D306" s="23" t="inlineStr"/>
      <c r="E306" s="23" t="inlineStr"/>
      <c r="F306" s="23" t="inlineStr"/>
      <c r="G306" s="25" t="inlineStr">
        <is>
          <t>📍</t>
        </is>
      </c>
      <c r="H306" s="23" t="inlineStr"/>
      <c r="I306" s="23" t="inlineStr"/>
      <c r="J306" s="40" t="inlineStr">
        <is>
          <t>🔥 Без сайту</t>
        </is>
      </c>
      <c r="K306" s="37" t="inlineStr">
        <is>
          <t>❌</t>
        </is>
      </c>
      <c r="L306" s="27" t="inlineStr">
        <is>
          <t>❌</t>
        </is>
      </c>
      <c r="M306" s="38" t="inlineStr">
        <is>
          <t>🟢 A</t>
        </is>
      </c>
      <c r="N306" s="21" t="inlineStr"/>
      <c r="O306" s="21" t="inlineStr"/>
      <c r="P306" s="23" t="inlineStr">
        <is>
          <t>—</t>
        </is>
      </c>
      <c r="Q306" s="23" t="inlineStr"/>
      <c r="R306" s="28" t="n"/>
      <c r="S306" s="23" t="inlineStr"/>
      <c r="T306" s="19" t="inlineStr">
        <is>
          <t>🟡 Новий</t>
        </is>
      </c>
      <c r="U306" s="21" t="inlineStr"/>
      <c r="V306" s="28" t="n"/>
      <c r="W306" s="21" t="inlineStr"/>
    </row>
    <row r="307" ht="20" customHeight="1">
      <c r="A307" s="9" t="n">
        <v>305</v>
      </c>
      <c r="B307" s="10" t="inlineStr">
        <is>
          <t>Караван-сарай</t>
        </is>
      </c>
      <c r="C307" s="10" t="inlineStr">
        <is>
          <t>вул. Староєврейська вулиця, 46, Львів</t>
        </is>
      </c>
      <c r="D307" s="33" t="inlineStr">
        <is>
          <t>+380 322 35 5083</t>
        </is>
      </c>
      <c r="E307" s="11" t="inlineStr"/>
      <c r="F307" s="11" t="inlineStr"/>
      <c r="G307" s="13" t="inlineStr">
        <is>
          <t>📍</t>
        </is>
      </c>
      <c r="H307" s="11" t="inlineStr"/>
      <c r="I307" s="11" t="inlineStr"/>
      <c r="J307" s="40" t="inlineStr">
        <is>
          <t>🔥 Без сайту</t>
        </is>
      </c>
      <c r="K307" s="39" t="inlineStr">
        <is>
          <t>❌</t>
        </is>
      </c>
      <c r="L307" s="16" t="inlineStr">
        <is>
          <t>❌</t>
        </is>
      </c>
      <c r="M307" s="38" t="inlineStr">
        <is>
          <t>🟢 A</t>
        </is>
      </c>
      <c r="N307" s="10" t="inlineStr"/>
      <c r="O307" s="10" t="inlineStr"/>
      <c r="P307" s="11" t="inlineStr">
        <is>
          <t>—</t>
        </is>
      </c>
      <c r="Q307" s="11" t="inlineStr"/>
      <c r="R307" s="18" t="n"/>
      <c r="S307" s="11" t="inlineStr"/>
      <c r="T307" s="19" t="inlineStr">
        <is>
          <t>🟡 Новий</t>
        </is>
      </c>
      <c r="U307" s="10" t="inlineStr"/>
      <c r="V307" s="18" t="n"/>
      <c r="W307" s="10" t="inlineStr"/>
    </row>
    <row r="308" ht="20" customHeight="1">
      <c r="A308" s="20" t="n">
        <v>306</v>
      </c>
      <c r="B308" s="21" t="inlineStr">
        <is>
          <t>Карамель</t>
        </is>
      </c>
      <c r="C308" s="21" t="inlineStr">
        <is>
          <t>Львів</t>
        </is>
      </c>
      <c r="D308" s="23" t="inlineStr"/>
      <c r="E308" s="23" t="inlineStr"/>
      <c r="F308" s="23" t="inlineStr"/>
      <c r="G308" s="25" t="inlineStr">
        <is>
          <t>📍</t>
        </is>
      </c>
      <c r="H308" s="23" t="inlineStr"/>
      <c r="I308" s="23" t="inlineStr"/>
      <c r="J308" s="40" t="inlineStr">
        <is>
          <t>🔥 Без сайту</t>
        </is>
      </c>
      <c r="K308" s="37" t="inlineStr">
        <is>
          <t>❌</t>
        </is>
      </c>
      <c r="L308" s="27" t="inlineStr">
        <is>
          <t>❌</t>
        </is>
      </c>
      <c r="M308" s="38" t="inlineStr">
        <is>
          <t>🟢 A</t>
        </is>
      </c>
      <c r="N308" s="21" t="inlineStr"/>
      <c r="O308" s="21" t="inlineStr"/>
      <c r="P308" s="23" t="inlineStr">
        <is>
          <t>—</t>
        </is>
      </c>
      <c r="Q308" s="23" t="inlineStr"/>
      <c r="R308" s="28" t="n"/>
      <c r="S308" s="23" t="inlineStr"/>
      <c r="T308" s="19" t="inlineStr">
        <is>
          <t>🟡 Новий</t>
        </is>
      </c>
      <c r="U308" s="21" t="inlineStr"/>
      <c r="V308" s="28" t="n"/>
      <c r="W308" s="21" t="inlineStr"/>
    </row>
    <row r="309" ht="20" customHeight="1">
      <c r="A309" s="9" t="n">
        <v>307</v>
      </c>
      <c r="B309" s="10" t="inlineStr">
        <is>
          <t>Касіопея</t>
        </is>
      </c>
      <c r="C309" s="10" t="inlineStr">
        <is>
          <t>вул. Кульпарківська вулиця, 129, Львів</t>
        </is>
      </c>
      <c r="D309" s="11" t="inlineStr"/>
      <c r="E309" s="11" t="inlineStr"/>
      <c r="F309" s="11" t="inlineStr"/>
      <c r="G309" s="13" t="inlineStr">
        <is>
          <t>📍</t>
        </is>
      </c>
      <c r="H309" s="11" t="inlineStr"/>
      <c r="I309" s="11" t="inlineStr"/>
      <c r="J309" s="40" t="inlineStr">
        <is>
          <t>🔥 Без сайту</t>
        </is>
      </c>
      <c r="K309" s="39" t="inlineStr">
        <is>
          <t>❌</t>
        </is>
      </c>
      <c r="L309" s="16" t="inlineStr">
        <is>
          <t>❌</t>
        </is>
      </c>
      <c r="M309" s="38" t="inlineStr">
        <is>
          <t>🟢 A</t>
        </is>
      </c>
      <c r="N309" s="10" t="inlineStr"/>
      <c r="O309" s="10" t="inlineStr"/>
      <c r="P309" s="11" t="inlineStr">
        <is>
          <t>—</t>
        </is>
      </c>
      <c r="Q309" s="11" t="inlineStr"/>
      <c r="R309" s="18" t="n"/>
      <c r="S309" s="11" t="inlineStr"/>
      <c r="T309" s="19" t="inlineStr">
        <is>
          <t>🟡 Новий</t>
        </is>
      </c>
      <c r="U309" s="10" t="inlineStr"/>
      <c r="V309" s="18" t="n"/>
      <c r="W309" s="10" t="inlineStr"/>
    </row>
    <row r="310" ht="20" customHeight="1">
      <c r="A310" s="20" t="n">
        <v>308</v>
      </c>
      <c r="B310" s="21" t="inlineStr">
        <is>
          <t>Кафе</t>
        </is>
      </c>
      <c r="C310" s="21" t="inlineStr">
        <is>
          <t>Львів</t>
        </is>
      </c>
      <c r="D310" s="23" t="inlineStr"/>
      <c r="E310" s="23" t="inlineStr"/>
      <c r="F310" s="23" t="inlineStr"/>
      <c r="G310" s="25" t="inlineStr">
        <is>
          <t>📍</t>
        </is>
      </c>
      <c r="H310" s="23" t="inlineStr"/>
      <c r="I310" s="23" t="inlineStr"/>
      <c r="J310" s="40" t="inlineStr">
        <is>
          <t>🔥 Без сайту</t>
        </is>
      </c>
      <c r="K310" s="37" t="inlineStr">
        <is>
          <t>❌</t>
        </is>
      </c>
      <c r="L310" s="27" t="inlineStr">
        <is>
          <t>❌</t>
        </is>
      </c>
      <c r="M310" s="38" t="inlineStr">
        <is>
          <t>🟢 A</t>
        </is>
      </c>
      <c r="N310" s="21" t="inlineStr"/>
      <c r="O310" s="21" t="inlineStr"/>
      <c r="P310" s="23" t="inlineStr">
        <is>
          <t>—</t>
        </is>
      </c>
      <c r="Q310" s="23" t="inlineStr"/>
      <c r="R310" s="28" t="n"/>
      <c r="S310" s="23" t="inlineStr"/>
      <c r="T310" s="19" t="inlineStr">
        <is>
          <t>🟡 Новий</t>
        </is>
      </c>
      <c r="U310" s="21" t="inlineStr"/>
      <c r="V310" s="28" t="n"/>
      <c r="W310" s="21" t="inlineStr"/>
    </row>
    <row r="311" ht="20" customHeight="1">
      <c r="A311" s="9" t="n">
        <v>309</v>
      </c>
      <c r="B311" s="10" t="inlineStr">
        <is>
          <t>Кафе Анхор</t>
        </is>
      </c>
      <c r="C311" s="10" t="inlineStr">
        <is>
          <t>вул. вулиця Івана Мележа, 2, Львів</t>
        </is>
      </c>
      <c r="D311" s="11" t="inlineStr"/>
      <c r="E311" s="11" t="inlineStr"/>
      <c r="F311" s="11" t="inlineStr"/>
      <c r="G311" s="13" t="inlineStr">
        <is>
          <t>📍</t>
        </is>
      </c>
      <c r="H311" s="11" t="inlineStr"/>
      <c r="I311" s="11" t="inlineStr"/>
      <c r="J311" s="40" t="inlineStr">
        <is>
          <t>🔥 Без сайту</t>
        </is>
      </c>
      <c r="K311" s="39" t="inlineStr">
        <is>
          <t>❌</t>
        </is>
      </c>
      <c r="L311" s="16" t="inlineStr">
        <is>
          <t>❌</t>
        </is>
      </c>
      <c r="M311" s="38" t="inlineStr">
        <is>
          <t>🟢 A</t>
        </is>
      </c>
      <c r="N311" s="10" t="inlineStr"/>
      <c r="O311" s="10" t="inlineStr"/>
      <c r="P311" s="11" t="inlineStr">
        <is>
          <t>—</t>
        </is>
      </c>
      <c r="Q311" s="11" t="inlineStr"/>
      <c r="R311" s="18" t="n"/>
      <c r="S311" s="11" t="inlineStr"/>
      <c r="T311" s="19" t="inlineStr">
        <is>
          <t>🟡 Новий</t>
        </is>
      </c>
      <c r="U311" s="10" t="inlineStr"/>
      <c r="V311" s="18" t="n"/>
      <c r="W311" s="10" t="inlineStr"/>
    </row>
    <row r="312" ht="20" customHeight="1">
      <c r="A312" s="20" t="n">
        <v>310</v>
      </c>
      <c r="B312" s="21" t="inlineStr">
        <is>
          <t>Кафе Бар</t>
        </is>
      </c>
      <c r="C312" s="21" t="inlineStr">
        <is>
          <t>Львів</t>
        </is>
      </c>
      <c r="D312" s="23" t="inlineStr"/>
      <c r="E312" s="23" t="inlineStr"/>
      <c r="F312" s="23" t="inlineStr"/>
      <c r="G312" s="25" t="inlineStr">
        <is>
          <t>📍</t>
        </is>
      </c>
      <c r="H312" s="23" t="inlineStr"/>
      <c r="I312" s="23" t="inlineStr"/>
      <c r="J312" s="40" t="inlineStr">
        <is>
          <t>🔥 Без сайту</t>
        </is>
      </c>
      <c r="K312" s="37" t="inlineStr">
        <is>
          <t>❌</t>
        </is>
      </c>
      <c r="L312" s="27" t="inlineStr">
        <is>
          <t>❌</t>
        </is>
      </c>
      <c r="M312" s="38" t="inlineStr">
        <is>
          <t>🟢 A</t>
        </is>
      </c>
      <c r="N312" s="21" t="inlineStr"/>
      <c r="O312" s="21" t="inlineStr"/>
      <c r="P312" s="23" t="inlineStr">
        <is>
          <t>—</t>
        </is>
      </c>
      <c r="Q312" s="23" t="inlineStr"/>
      <c r="R312" s="28" t="n"/>
      <c r="S312" s="23" t="inlineStr"/>
      <c r="T312" s="19" t="inlineStr">
        <is>
          <t>🟡 Новий</t>
        </is>
      </c>
      <c r="U312" s="21" t="inlineStr"/>
      <c r="V312" s="28" t="n"/>
      <c r="W312" s="21" t="inlineStr"/>
    </row>
    <row r="313" ht="20" customHeight="1">
      <c r="A313" s="9" t="n">
        <v>311</v>
      </c>
      <c r="B313" s="10" t="inlineStr">
        <is>
          <t>Кафе Браун</t>
        </is>
      </c>
      <c r="C313" s="10" t="inlineStr">
        <is>
          <t>Львів</t>
        </is>
      </c>
      <c r="D313" s="11" t="inlineStr"/>
      <c r="E313" s="11" t="inlineStr"/>
      <c r="F313" s="11" t="inlineStr"/>
      <c r="G313" s="13" t="inlineStr">
        <is>
          <t>📍</t>
        </is>
      </c>
      <c r="H313" s="11" t="inlineStr"/>
      <c r="I313" s="11" t="inlineStr"/>
      <c r="J313" s="40" t="inlineStr">
        <is>
          <t>🔥 Без сайту</t>
        </is>
      </c>
      <c r="K313" s="39" t="inlineStr">
        <is>
          <t>❌</t>
        </is>
      </c>
      <c r="L313" s="16" t="inlineStr">
        <is>
          <t>❌</t>
        </is>
      </c>
      <c r="M313" s="38" t="inlineStr">
        <is>
          <t>🟢 A</t>
        </is>
      </c>
      <c r="N313" s="10" t="inlineStr"/>
      <c r="O313" s="10" t="inlineStr"/>
      <c r="P313" s="11" t="inlineStr">
        <is>
          <t>—</t>
        </is>
      </c>
      <c r="Q313" s="11" t="inlineStr"/>
      <c r="R313" s="18" t="n"/>
      <c r="S313" s="11" t="inlineStr"/>
      <c r="T313" s="19" t="inlineStr">
        <is>
          <t>🟡 Новий</t>
        </is>
      </c>
      <c r="U313" s="10" t="inlineStr"/>
      <c r="V313" s="18" t="n"/>
      <c r="W313" s="10" t="inlineStr"/>
    </row>
    <row r="314" ht="20" customHeight="1">
      <c r="A314" s="20" t="n">
        <v>312</v>
      </c>
      <c r="B314" s="21" t="inlineStr">
        <is>
          <t>Кафе Експрес</t>
        </is>
      </c>
      <c r="C314" s="21" t="inlineStr">
        <is>
          <t>Львів</t>
        </is>
      </c>
      <c r="D314" s="23" t="inlineStr"/>
      <c r="E314" s="23" t="inlineStr"/>
      <c r="F314" s="23" t="inlineStr"/>
      <c r="G314" s="25" t="inlineStr">
        <is>
          <t>📍</t>
        </is>
      </c>
      <c r="H314" s="23" t="inlineStr"/>
      <c r="I314" s="23" t="inlineStr"/>
      <c r="J314" s="40" t="inlineStr">
        <is>
          <t>🔥 Без сайту</t>
        </is>
      </c>
      <c r="K314" s="37" t="inlineStr">
        <is>
          <t>❌</t>
        </is>
      </c>
      <c r="L314" s="27" t="inlineStr">
        <is>
          <t>❌</t>
        </is>
      </c>
      <c r="M314" s="38" t="inlineStr">
        <is>
          <t>🟢 A</t>
        </is>
      </c>
      <c r="N314" s="21" t="inlineStr"/>
      <c r="O314" s="21" t="inlineStr"/>
      <c r="P314" s="23" t="inlineStr">
        <is>
          <t>—</t>
        </is>
      </c>
      <c r="Q314" s="23" t="inlineStr"/>
      <c r="R314" s="28" t="n"/>
      <c r="S314" s="23" t="inlineStr"/>
      <c r="T314" s="19" t="inlineStr">
        <is>
          <t>🟡 Новий</t>
        </is>
      </c>
      <c r="U314" s="21" t="inlineStr"/>
      <c r="V314" s="28" t="n"/>
      <c r="W314" s="21" t="inlineStr"/>
    </row>
    <row r="315" ht="20" customHeight="1">
      <c r="A315" s="9" t="n">
        <v>313</v>
      </c>
      <c r="B315" s="10" t="inlineStr">
        <is>
          <t>Кафе Куліш</t>
        </is>
      </c>
      <c r="C315" s="10" t="inlineStr">
        <is>
          <t>Львів</t>
        </is>
      </c>
      <c r="D315" s="11" t="inlineStr"/>
      <c r="E315" s="11" t="inlineStr"/>
      <c r="F315" s="11" t="inlineStr"/>
      <c r="G315" s="13" t="inlineStr">
        <is>
          <t>📍</t>
        </is>
      </c>
      <c r="H315" s="11" t="inlineStr"/>
      <c r="I315" s="11" t="inlineStr"/>
      <c r="J315" s="40" t="inlineStr">
        <is>
          <t>🔥 Без сайту</t>
        </is>
      </c>
      <c r="K315" s="39" t="inlineStr">
        <is>
          <t>❌</t>
        </is>
      </c>
      <c r="L315" s="16" t="inlineStr">
        <is>
          <t>❌</t>
        </is>
      </c>
      <c r="M315" s="38" t="inlineStr">
        <is>
          <t>🟢 A</t>
        </is>
      </c>
      <c r="N315" s="10" t="inlineStr"/>
      <c r="O315" s="10" t="inlineStr"/>
      <c r="P315" s="11" t="inlineStr">
        <is>
          <t>—</t>
        </is>
      </c>
      <c r="Q315" s="11" t="inlineStr"/>
      <c r="R315" s="18" t="n"/>
      <c r="S315" s="11" t="inlineStr"/>
      <c r="T315" s="19" t="inlineStr">
        <is>
          <t>🟡 Новий</t>
        </is>
      </c>
      <c r="U315" s="10" t="inlineStr"/>
      <c r="V315" s="18" t="n"/>
      <c r="W315" s="10" t="inlineStr"/>
    </row>
    <row r="316" ht="20" customHeight="1">
      <c r="A316" s="20" t="n">
        <v>314</v>
      </c>
      <c r="B316" s="21" t="inlineStr">
        <is>
          <t>Кафе Ринок</t>
        </is>
      </c>
      <c r="C316" s="21" t="inlineStr">
        <is>
          <t>Львів</t>
        </is>
      </c>
      <c r="D316" s="23" t="inlineStr"/>
      <c r="E316" s="23" t="inlineStr"/>
      <c r="F316" s="23" t="inlineStr"/>
      <c r="G316" s="25" t="inlineStr">
        <is>
          <t>📍</t>
        </is>
      </c>
      <c r="H316" s="23" t="inlineStr"/>
      <c r="I316" s="23" t="inlineStr"/>
      <c r="J316" s="40" t="inlineStr">
        <is>
          <t>🔥 Без сайту</t>
        </is>
      </c>
      <c r="K316" s="37" t="inlineStr">
        <is>
          <t>❌</t>
        </is>
      </c>
      <c r="L316" s="27" t="inlineStr">
        <is>
          <t>❌</t>
        </is>
      </c>
      <c r="M316" s="38" t="inlineStr">
        <is>
          <t>🟢 A</t>
        </is>
      </c>
      <c r="N316" s="21" t="inlineStr"/>
      <c r="O316" s="21" t="inlineStr"/>
      <c r="P316" s="23" t="inlineStr">
        <is>
          <t>—</t>
        </is>
      </c>
      <c r="Q316" s="23" t="inlineStr"/>
      <c r="R316" s="28" t="n"/>
      <c r="S316" s="23" t="inlineStr"/>
      <c r="T316" s="19" t="inlineStr">
        <is>
          <t>🟡 Новий</t>
        </is>
      </c>
      <c r="U316" s="21" t="inlineStr"/>
      <c r="V316" s="28" t="n"/>
      <c r="W316" s="21" t="inlineStr"/>
    </row>
    <row r="317" ht="20" customHeight="1">
      <c r="A317" s="9" t="n">
        <v>315</v>
      </c>
      <c r="B317" s="10" t="inlineStr">
        <is>
          <t>Кафе-бар</t>
        </is>
      </c>
      <c r="C317" s="10" t="inlineStr">
        <is>
          <t>Львів</t>
        </is>
      </c>
      <c r="D317" s="11" t="inlineStr"/>
      <c r="E317" s="11" t="inlineStr"/>
      <c r="F317" s="11" t="inlineStr"/>
      <c r="G317" s="13" t="inlineStr">
        <is>
          <t>📍</t>
        </is>
      </c>
      <c r="H317" s="11" t="inlineStr"/>
      <c r="I317" s="11" t="inlineStr"/>
      <c r="J317" s="40" t="inlineStr">
        <is>
          <t>🔥 Без сайту</t>
        </is>
      </c>
      <c r="K317" s="39" t="inlineStr">
        <is>
          <t>❌</t>
        </is>
      </c>
      <c r="L317" s="16" t="inlineStr">
        <is>
          <t>❌</t>
        </is>
      </c>
      <c r="M317" s="38" t="inlineStr">
        <is>
          <t>🟢 A</t>
        </is>
      </c>
      <c r="N317" s="10" t="inlineStr"/>
      <c r="O317" s="10" t="inlineStr"/>
      <c r="P317" s="11" t="inlineStr">
        <is>
          <t>—</t>
        </is>
      </c>
      <c r="Q317" s="11" t="inlineStr"/>
      <c r="R317" s="18" t="n"/>
      <c r="S317" s="11" t="inlineStr"/>
      <c r="T317" s="19" t="inlineStr">
        <is>
          <t>🟡 Новий</t>
        </is>
      </c>
      <c r="U317" s="10" t="inlineStr"/>
      <c r="V317" s="18" t="n"/>
      <c r="W317" s="10" t="inlineStr"/>
    </row>
    <row r="318" ht="20" customHeight="1">
      <c r="A318" s="20" t="n">
        <v>316</v>
      </c>
      <c r="B318" s="21" t="inlineStr">
        <is>
          <t>Кафе-бар Люксор</t>
        </is>
      </c>
      <c r="C318" s="21" t="inlineStr">
        <is>
          <t>Львів</t>
        </is>
      </c>
      <c r="D318" s="23" t="inlineStr"/>
      <c r="E318" s="23" t="inlineStr"/>
      <c r="F318" s="23" t="inlineStr"/>
      <c r="G318" s="25" t="inlineStr">
        <is>
          <t>📍</t>
        </is>
      </c>
      <c r="H318" s="23" t="inlineStr"/>
      <c r="I318" s="23" t="inlineStr"/>
      <c r="J318" s="40" t="inlineStr">
        <is>
          <t>🔥 Без сайту</t>
        </is>
      </c>
      <c r="K318" s="37" t="inlineStr">
        <is>
          <t>❌</t>
        </is>
      </c>
      <c r="L318" s="27" t="inlineStr">
        <is>
          <t>❌</t>
        </is>
      </c>
      <c r="M318" s="38" t="inlineStr">
        <is>
          <t>🟢 A</t>
        </is>
      </c>
      <c r="N318" s="21" t="inlineStr"/>
      <c r="O318" s="21" t="inlineStr"/>
      <c r="P318" s="23" t="inlineStr">
        <is>
          <t>—</t>
        </is>
      </c>
      <c r="Q318" s="23" t="inlineStr"/>
      <c r="R318" s="28" t="n"/>
      <c r="S318" s="23" t="inlineStr"/>
      <c r="T318" s="19" t="inlineStr">
        <is>
          <t>🟡 Новий</t>
        </is>
      </c>
      <c r="U318" s="21" t="inlineStr"/>
      <c r="V318" s="28" t="n"/>
      <c r="W318" s="21" t="inlineStr"/>
    </row>
    <row r="319" ht="20" customHeight="1">
      <c r="A319" s="9" t="n">
        <v>317</v>
      </c>
      <c r="B319" s="10" t="inlineStr">
        <is>
          <t>Кают-компанія</t>
        </is>
      </c>
      <c r="C319" s="10" t="inlineStr">
        <is>
          <t>вул. вулиця Олени Степанівни, Львів</t>
        </is>
      </c>
      <c r="D319" s="11" t="inlineStr"/>
      <c r="E319" s="11" t="inlineStr"/>
      <c r="F319" s="11" t="inlineStr"/>
      <c r="G319" s="13" t="inlineStr">
        <is>
          <t>📍</t>
        </is>
      </c>
      <c r="H319" s="11" t="inlineStr"/>
      <c r="I319" s="11" t="inlineStr"/>
      <c r="J319" s="40" t="inlineStr">
        <is>
          <t>🔥 Без сайту</t>
        </is>
      </c>
      <c r="K319" s="39" t="inlineStr">
        <is>
          <t>❌</t>
        </is>
      </c>
      <c r="L319" s="16" t="inlineStr">
        <is>
          <t>❌</t>
        </is>
      </c>
      <c r="M319" s="38" t="inlineStr">
        <is>
          <t>🟢 A</t>
        </is>
      </c>
      <c r="N319" s="10" t="inlineStr"/>
      <c r="O319" s="10" t="inlineStr"/>
      <c r="P319" s="11" t="inlineStr">
        <is>
          <t>—</t>
        </is>
      </c>
      <c r="Q319" s="11" t="inlineStr"/>
      <c r="R319" s="18" t="n"/>
      <c r="S319" s="11" t="inlineStr"/>
      <c r="T319" s="19" t="inlineStr">
        <is>
          <t>🟡 Новий</t>
        </is>
      </c>
      <c r="U319" s="10" t="inlineStr"/>
      <c r="V319" s="18" t="n"/>
      <c r="W319" s="10" t="inlineStr"/>
    </row>
    <row r="320" ht="20" customHeight="1">
      <c r="A320" s="20" t="n">
        <v>318</v>
      </c>
      <c r="B320" s="21" t="inlineStr">
        <is>
          <t>Квартира 5</t>
        </is>
      </c>
      <c r="C320" s="21" t="inlineStr">
        <is>
          <t>Львів</t>
        </is>
      </c>
      <c r="D320" s="23" t="inlineStr"/>
      <c r="E320" s="23" t="inlineStr"/>
      <c r="F320" s="23" t="inlineStr"/>
      <c r="G320" s="25" t="inlineStr">
        <is>
          <t>📍</t>
        </is>
      </c>
      <c r="H320" s="23" t="inlineStr"/>
      <c r="I320" s="23" t="inlineStr"/>
      <c r="J320" s="40" t="inlineStr">
        <is>
          <t>🔥 Без сайту</t>
        </is>
      </c>
      <c r="K320" s="37" t="inlineStr">
        <is>
          <t>❌</t>
        </is>
      </c>
      <c r="L320" s="27" t="inlineStr">
        <is>
          <t>❌</t>
        </is>
      </c>
      <c r="M320" s="38" t="inlineStr">
        <is>
          <t>🟢 A</t>
        </is>
      </c>
      <c r="N320" s="21" t="inlineStr"/>
      <c r="O320" s="21" t="inlineStr"/>
      <c r="P320" s="23" t="inlineStr">
        <is>
          <t>—</t>
        </is>
      </c>
      <c r="Q320" s="23" t="inlineStr"/>
      <c r="R320" s="28" t="n"/>
      <c r="S320" s="23" t="inlineStr"/>
      <c r="T320" s="19" t="inlineStr">
        <is>
          <t>🟡 Новий</t>
        </is>
      </c>
      <c r="U320" s="21" t="inlineStr"/>
      <c r="V320" s="28" t="n"/>
      <c r="W320" s="21" t="inlineStr"/>
    </row>
    <row r="321" ht="20" customHeight="1">
      <c r="A321" s="9" t="n">
        <v>319</v>
      </c>
      <c r="B321" s="10" t="inlineStr">
        <is>
          <t>Кнайпа</t>
        </is>
      </c>
      <c r="C321" s="10" t="inlineStr">
        <is>
          <t>вул. вулиця Анатолія Кос-Анатольського, 2, Львів</t>
        </is>
      </c>
      <c r="D321" s="11" t="inlineStr"/>
      <c r="E321" s="11" t="inlineStr"/>
      <c r="F321" s="11" t="inlineStr"/>
      <c r="G321" s="13" t="inlineStr">
        <is>
          <t>📍</t>
        </is>
      </c>
      <c r="H321" s="11" t="inlineStr"/>
      <c r="I321" s="11" t="inlineStr"/>
      <c r="J321" s="40" t="inlineStr">
        <is>
          <t>🔥 Без сайту</t>
        </is>
      </c>
      <c r="K321" s="39" t="inlineStr">
        <is>
          <t>❌</t>
        </is>
      </c>
      <c r="L321" s="16" t="inlineStr">
        <is>
          <t>❌</t>
        </is>
      </c>
      <c r="M321" s="38" t="inlineStr">
        <is>
          <t>🟢 A</t>
        </is>
      </c>
      <c r="N321" s="10" t="inlineStr"/>
      <c r="O321" s="10" t="inlineStr"/>
      <c r="P321" s="11" t="inlineStr">
        <is>
          <t>—</t>
        </is>
      </c>
      <c r="Q321" s="11" t="inlineStr"/>
      <c r="R321" s="18" t="n"/>
      <c r="S321" s="11" t="inlineStr"/>
      <c r="T321" s="19" t="inlineStr">
        <is>
          <t>🟡 Новий</t>
        </is>
      </c>
      <c r="U321" s="10" t="inlineStr"/>
      <c r="V321" s="18" t="n"/>
      <c r="W321" s="10" t="inlineStr"/>
    </row>
    <row r="322" ht="20" customHeight="1">
      <c r="A322" s="20" t="n">
        <v>320</v>
      </c>
      <c r="B322" s="21" t="inlineStr">
        <is>
          <t>Кобза</t>
        </is>
      </c>
      <c r="C322" s="21" t="inlineStr">
        <is>
          <t>Львів</t>
        </is>
      </c>
      <c r="D322" s="23" t="inlineStr"/>
      <c r="E322" s="23" t="inlineStr"/>
      <c r="F322" s="23" t="inlineStr"/>
      <c r="G322" s="25" t="inlineStr">
        <is>
          <t>📍</t>
        </is>
      </c>
      <c r="H322" s="23" t="inlineStr"/>
      <c r="I322" s="23" t="inlineStr"/>
      <c r="J322" s="40" t="inlineStr">
        <is>
          <t>🔥 Без сайту</t>
        </is>
      </c>
      <c r="K322" s="37" t="inlineStr">
        <is>
          <t>❌</t>
        </is>
      </c>
      <c r="L322" s="27" t="inlineStr">
        <is>
          <t>❌</t>
        </is>
      </c>
      <c r="M322" s="38" t="inlineStr">
        <is>
          <t>🟢 A</t>
        </is>
      </c>
      <c r="N322" s="21" t="inlineStr"/>
      <c r="O322" s="21" t="inlineStr"/>
      <c r="P322" s="23" t="inlineStr">
        <is>
          <t>—</t>
        </is>
      </c>
      <c r="Q322" s="23" t="inlineStr"/>
      <c r="R322" s="28" t="n"/>
      <c r="S322" s="23" t="inlineStr"/>
      <c r="T322" s="19" t="inlineStr">
        <is>
          <t>🟡 Новий</t>
        </is>
      </c>
      <c r="U322" s="21" t="inlineStr"/>
      <c r="V322" s="28" t="n"/>
      <c r="W322" s="21" t="inlineStr"/>
    </row>
    <row r="323" ht="20" customHeight="1">
      <c r="A323" s="9" t="n">
        <v>321</v>
      </c>
      <c r="B323" s="10" t="inlineStr">
        <is>
          <t>Козак</t>
        </is>
      </c>
      <c r="C323" s="10" t="inlineStr">
        <is>
          <t>Львів</t>
        </is>
      </c>
      <c r="D323" s="11" t="inlineStr"/>
      <c r="E323" s="11" t="inlineStr"/>
      <c r="F323" s="11" t="inlineStr"/>
      <c r="G323" s="13" t="inlineStr">
        <is>
          <t>📍</t>
        </is>
      </c>
      <c r="H323" s="11" t="inlineStr"/>
      <c r="I323" s="11" t="inlineStr"/>
      <c r="J323" s="40" t="inlineStr">
        <is>
          <t>🔥 Без сайту</t>
        </is>
      </c>
      <c r="K323" s="39" t="inlineStr">
        <is>
          <t>❌</t>
        </is>
      </c>
      <c r="L323" s="16" t="inlineStr">
        <is>
          <t>❌</t>
        </is>
      </c>
      <c r="M323" s="38" t="inlineStr">
        <is>
          <t>🟢 A</t>
        </is>
      </c>
      <c r="N323" s="10" t="inlineStr"/>
      <c r="O323" s="10" t="inlineStr"/>
      <c r="P323" s="11" t="inlineStr">
        <is>
          <t>—</t>
        </is>
      </c>
      <c r="Q323" s="11" t="inlineStr"/>
      <c r="R323" s="18" t="n"/>
      <c r="S323" s="11" t="inlineStr"/>
      <c r="T323" s="19" t="inlineStr">
        <is>
          <t>🟡 Новий</t>
        </is>
      </c>
      <c r="U323" s="10" t="inlineStr"/>
      <c r="V323" s="18" t="n"/>
      <c r="W323" s="10" t="inlineStr"/>
    </row>
    <row r="324" ht="20" customHeight="1">
      <c r="A324" s="20" t="n">
        <v>322</v>
      </c>
      <c r="B324" s="21" t="inlineStr">
        <is>
          <t>Колиба</t>
        </is>
      </c>
      <c r="C324" s="21" t="inlineStr">
        <is>
          <t>Львів</t>
        </is>
      </c>
      <c r="D324" s="23" t="inlineStr"/>
      <c r="E324" s="23" t="inlineStr"/>
      <c r="F324" s="23" t="inlineStr"/>
      <c r="G324" s="25" t="inlineStr">
        <is>
          <t>📍</t>
        </is>
      </c>
      <c r="H324" s="23" t="inlineStr"/>
      <c r="I324" s="23" t="inlineStr"/>
      <c r="J324" s="40" t="inlineStr">
        <is>
          <t>🔥 Без сайту</t>
        </is>
      </c>
      <c r="K324" s="37" t="inlineStr">
        <is>
          <t>❌</t>
        </is>
      </c>
      <c r="L324" s="27" t="inlineStr">
        <is>
          <t>❌</t>
        </is>
      </c>
      <c r="M324" s="38" t="inlineStr">
        <is>
          <t>🟢 A</t>
        </is>
      </c>
      <c r="N324" s="21" t="inlineStr"/>
      <c r="O324" s="21" t="inlineStr"/>
      <c r="P324" s="23" t="inlineStr">
        <is>
          <t>—</t>
        </is>
      </c>
      <c r="Q324" s="23" t="inlineStr"/>
      <c r="R324" s="28" t="n"/>
      <c r="S324" s="23" t="inlineStr"/>
      <c r="T324" s="19" t="inlineStr">
        <is>
          <t>🟡 Новий</t>
        </is>
      </c>
      <c r="U324" s="21" t="inlineStr"/>
      <c r="V324" s="28" t="n"/>
      <c r="W324" s="21" t="inlineStr"/>
    </row>
    <row r="325" ht="20" customHeight="1">
      <c r="A325" s="9" t="n">
        <v>323</v>
      </c>
      <c r="B325" s="10" t="inlineStr">
        <is>
          <t>Коліжанка</t>
        </is>
      </c>
      <c r="C325" s="10" t="inlineStr">
        <is>
          <t>Львів</t>
        </is>
      </c>
      <c r="D325" s="11" t="inlineStr"/>
      <c r="E325" s="11" t="inlineStr"/>
      <c r="F325" s="11" t="inlineStr"/>
      <c r="G325" s="13" t="inlineStr">
        <is>
          <t>📍</t>
        </is>
      </c>
      <c r="H325" s="11" t="inlineStr"/>
      <c r="I325" s="11" t="inlineStr"/>
      <c r="J325" s="40" t="inlineStr">
        <is>
          <t>🔥 Без сайту</t>
        </is>
      </c>
      <c r="K325" s="39" t="inlineStr">
        <is>
          <t>❌</t>
        </is>
      </c>
      <c r="L325" s="16" t="inlineStr">
        <is>
          <t>❌</t>
        </is>
      </c>
      <c r="M325" s="38" t="inlineStr">
        <is>
          <t>🟢 A</t>
        </is>
      </c>
      <c r="N325" s="10" t="inlineStr"/>
      <c r="O325" s="10" t="inlineStr"/>
      <c r="P325" s="11" t="inlineStr">
        <is>
          <t>—</t>
        </is>
      </c>
      <c r="Q325" s="11" t="inlineStr"/>
      <c r="R325" s="18" t="n"/>
      <c r="S325" s="11" t="inlineStr"/>
      <c r="T325" s="19" t="inlineStr">
        <is>
          <t>🟡 Новий</t>
        </is>
      </c>
      <c r="U325" s="10" t="inlineStr"/>
      <c r="V325" s="18" t="n"/>
      <c r="W325" s="10" t="inlineStr"/>
    </row>
    <row r="326" ht="20" customHeight="1">
      <c r="A326" s="20" t="n">
        <v>324</v>
      </c>
      <c r="B326" s="21" t="inlineStr">
        <is>
          <t>Кондитерська аптека Іонових</t>
        </is>
      </c>
      <c r="C326" s="21" t="inlineStr">
        <is>
          <t>Львів</t>
        </is>
      </c>
      <c r="D326" s="23" t="inlineStr"/>
      <c r="E326" s="23" t="inlineStr"/>
      <c r="F326" s="23" t="inlineStr"/>
      <c r="G326" s="25" t="inlineStr">
        <is>
          <t>📍</t>
        </is>
      </c>
      <c r="H326" s="23" t="inlineStr"/>
      <c r="I326" s="23" t="inlineStr"/>
      <c r="J326" s="40" t="inlineStr">
        <is>
          <t>🔥 Без сайту</t>
        </is>
      </c>
      <c r="K326" s="37" t="inlineStr">
        <is>
          <t>❌</t>
        </is>
      </c>
      <c r="L326" s="27" t="inlineStr">
        <is>
          <t>❌</t>
        </is>
      </c>
      <c r="M326" s="38" t="inlineStr">
        <is>
          <t>🟢 A</t>
        </is>
      </c>
      <c r="N326" s="21" t="inlineStr"/>
      <c r="O326" s="21" t="inlineStr"/>
      <c r="P326" s="23" t="inlineStr">
        <is>
          <t>—</t>
        </is>
      </c>
      <c r="Q326" s="23" t="inlineStr"/>
      <c r="R326" s="28" t="n"/>
      <c r="S326" s="23" t="inlineStr"/>
      <c r="T326" s="19" t="inlineStr">
        <is>
          <t>🟡 Новий</t>
        </is>
      </c>
      <c r="U326" s="21" t="inlineStr"/>
      <c r="V326" s="28" t="n"/>
      <c r="W326" s="21" t="inlineStr"/>
    </row>
    <row r="327" ht="20" customHeight="1">
      <c r="A327" s="9" t="n">
        <v>325</v>
      </c>
      <c r="B327" s="10" t="inlineStr">
        <is>
          <t>Корчма сучасність</t>
        </is>
      </c>
      <c r="C327" s="10" t="inlineStr">
        <is>
          <t>Львів</t>
        </is>
      </c>
      <c r="D327" s="11" t="inlineStr"/>
      <c r="E327" s="11" t="inlineStr"/>
      <c r="F327" s="11" t="inlineStr"/>
      <c r="G327" s="13" t="inlineStr">
        <is>
          <t>📍</t>
        </is>
      </c>
      <c r="H327" s="11" t="inlineStr"/>
      <c r="I327" s="11" t="inlineStr"/>
      <c r="J327" s="40" t="inlineStr">
        <is>
          <t>🔥 Без сайту</t>
        </is>
      </c>
      <c r="K327" s="39" t="inlineStr">
        <is>
          <t>❌</t>
        </is>
      </c>
      <c r="L327" s="16" t="inlineStr">
        <is>
          <t>❌</t>
        </is>
      </c>
      <c r="M327" s="38" t="inlineStr">
        <is>
          <t>🟢 A</t>
        </is>
      </c>
      <c r="N327" s="10" t="inlineStr"/>
      <c r="O327" s="10" t="inlineStr"/>
      <c r="P327" s="11" t="inlineStr">
        <is>
          <t>—</t>
        </is>
      </c>
      <c r="Q327" s="11" t="inlineStr"/>
      <c r="R327" s="18" t="n"/>
      <c r="S327" s="11" t="inlineStr"/>
      <c r="T327" s="19" t="inlineStr">
        <is>
          <t>🟡 Новий</t>
        </is>
      </c>
      <c r="U327" s="10" t="inlineStr"/>
      <c r="V327" s="18" t="n"/>
      <c r="W327" s="10" t="inlineStr"/>
    </row>
    <row r="328" ht="20" customHeight="1">
      <c r="A328" s="20" t="n">
        <v>326</v>
      </c>
      <c r="B328" s="21" t="inlineStr">
        <is>
          <t>Креденс Кафе</t>
        </is>
      </c>
      <c r="C328" s="21" t="inlineStr">
        <is>
          <t>вул. Валова вулиця, Львів</t>
        </is>
      </c>
      <c r="D328" s="23" t="inlineStr"/>
      <c r="E328" s="23" t="inlineStr"/>
      <c r="F328" s="23" t="inlineStr"/>
      <c r="G328" s="25" t="inlineStr">
        <is>
          <t>📍</t>
        </is>
      </c>
      <c r="H328" s="23" t="inlineStr"/>
      <c r="I328" s="23" t="inlineStr"/>
      <c r="J328" s="40" t="inlineStr">
        <is>
          <t>🔥 Без сайту</t>
        </is>
      </c>
      <c r="K328" s="37" t="inlineStr">
        <is>
          <t>❌</t>
        </is>
      </c>
      <c r="L328" s="27" t="inlineStr">
        <is>
          <t>❌</t>
        </is>
      </c>
      <c r="M328" s="38" t="inlineStr">
        <is>
          <t>🟢 A</t>
        </is>
      </c>
      <c r="N328" s="21" t="inlineStr"/>
      <c r="O328" s="21" t="inlineStr"/>
      <c r="P328" s="23" t="inlineStr">
        <is>
          <t>—</t>
        </is>
      </c>
      <c r="Q328" s="23" t="inlineStr"/>
      <c r="R328" s="28" t="n"/>
      <c r="S328" s="23" t="inlineStr"/>
      <c r="T328" s="19" t="inlineStr">
        <is>
          <t>🟡 Новий</t>
        </is>
      </c>
      <c r="U328" s="21" t="inlineStr"/>
      <c r="V328" s="28" t="n"/>
      <c r="W328" s="21" t="inlineStr"/>
    </row>
    <row r="329" ht="20" customHeight="1">
      <c r="A329" s="9" t="n">
        <v>327</v>
      </c>
      <c r="B329" s="10" t="inlineStr">
        <is>
          <t>Кримська перепічка</t>
        </is>
      </c>
      <c r="C329" s="10" t="inlineStr">
        <is>
          <t>Львів</t>
        </is>
      </c>
      <c r="D329" s="11" t="inlineStr"/>
      <c r="E329" s="11" t="inlineStr"/>
      <c r="F329" s="11" t="inlineStr"/>
      <c r="G329" s="13" t="inlineStr">
        <is>
          <t>📍</t>
        </is>
      </c>
      <c r="H329" s="11" t="inlineStr"/>
      <c r="I329" s="11" t="inlineStr"/>
      <c r="J329" s="40" t="inlineStr">
        <is>
          <t>🔥 Без сайту</t>
        </is>
      </c>
      <c r="K329" s="39" t="inlineStr">
        <is>
          <t>❌</t>
        </is>
      </c>
      <c r="L329" s="16" t="inlineStr">
        <is>
          <t>❌</t>
        </is>
      </c>
      <c r="M329" s="38" t="inlineStr">
        <is>
          <t>🟢 A</t>
        </is>
      </c>
      <c r="N329" s="10" t="inlineStr"/>
      <c r="O329" s="10" t="inlineStr"/>
      <c r="P329" s="11" t="inlineStr">
        <is>
          <t>—</t>
        </is>
      </c>
      <c r="Q329" s="11" t="inlineStr"/>
      <c r="R329" s="18" t="n"/>
      <c r="S329" s="11" t="inlineStr"/>
      <c r="T329" s="19" t="inlineStr">
        <is>
          <t>🟡 Новий</t>
        </is>
      </c>
      <c r="U329" s="10" t="inlineStr"/>
      <c r="V329" s="18" t="n"/>
      <c r="W329" s="10" t="inlineStr"/>
    </row>
    <row r="330" ht="20" customHeight="1">
      <c r="A330" s="20" t="n">
        <v>328</v>
      </c>
      <c r="B330" s="21" t="inlineStr">
        <is>
          <t>Кружка</t>
        </is>
      </c>
      <c r="C330" s="21" t="inlineStr">
        <is>
          <t>Львів</t>
        </is>
      </c>
      <c r="D330" s="23" t="inlineStr"/>
      <c r="E330" s="23" t="inlineStr"/>
      <c r="F330" s="23" t="inlineStr"/>
      <c r="G330" s="25" t="inlineStr">
        <is>
          <t>📍</t>
        </is>
      </c>
      <c r="H330" s="23" t="inlineStr"/>
      <c r="I330" s="23" t="inlineStr"/>
      <c r="J330" s="40" t="inlineStr">
        <is>
          <t>🔥 Без сайту</t>
        </is>
      </c>
      <c r="K330" s="37" t="inlineStr">
        <is>
          <t>❌</t>
        </is>
      </c>
      <c r="L330" s="27" t="inlineStr">
        <is>
          <t>❌</t>
        </is>
      </c>
      <c r="M330" s="38" t="inlineStr">
        <is>
          <t>🟢 A</t>
        </is>
      </c>
      <c r="N330" s="21" t="inlineStr"/>
      <c r="O330" s="21" t="inlineStr"/>
      <c r="P330" s="23" t="inlineStr">
        <is>
          <t>—</t>
        </is>
      </c>
      <c r="Q330" s="23" t="inlineStr"/>
      <c r="R330" s="28" t="n"/>
      <c r="S330" s="23" t="inlineStr"/>
      <c r="T330" s="19" t="inlineStr">
        <is>
          <t>🟡 Новий</t>
        </is>
      </c>
      <c r="U330" s="21" t="inlineStr"/>
      <c r="V330" s="28" t="n"/>
      <c r="W330" s="21" t="inlineStr"/>
    </row>
    <row r="331" ht="20" customHeight="1">
      <c r="A331" s="9" t="n">
        <v>329</v>
      </c>
      <c r="B331" s="10" t="inlineStr">
        <is>
          <t>Кури гриль</t>
        </is>
      </c>
      <c r="C331" s="10" t="inlineStr">
        <is>
          <t>Львів</t>
        </is>
      </c>
      <c r="D331" s="11" t="inlineStr"/>
      <c r="E331" s="11" t="inlineStr"/>
      <c r="F331" s="11" t="inlineStr"/>
      <c r="G331" s="13" t="inlineStr">
        <is>
          <t>📍</t>
        </is>
      </c>
      <c r="H331" s="11" t="inlineStr"/>
      <c r="I331" s="11" t="inlineStr"/>
      <c r="J331" s="40" t="inlineStr">
        <is>
          <t>🔥 Без сайту</t>
        </is>
      </c>
      <c r="K331" s="39" t="inlineStr">
        <is>
          <t>❌</t>
        </is>
      </c>
      <c r="L331" s="16" t="inlineStr">
        <is>
          <t>❌</t>
        </is>
      </c>
      <c r="M331" s="38" t="inlineStr">
        <is>
          <t>🟢 A</t>
        </is>
      </c>
      <c r="N331" s="10" t="inlineStr"/>
      <c r="O331" s="10" t="inlineStr"/>
      <c r="P331" s="11" t="inlineStr">
        <is>
          <t>—</t>
        </is>
      </c>
      <c r="Q331" s="11" t="inlineStr"/>
      <c r="R331" s="18" t="n"/>
      <c r="S331" s="11" t="inlineStr"/>
      <c r="T331" s="19" t="inlineStr">
        <is>
          <t>🟡 Новий</t>
        </is>
      </c>
      <c r="U331" s="10" t="inlineStr"/>
      <c r="V331" s="18" t="n"/>
      <c r="W331" s="10" t="inlineStr"/>
    </row>
    <row r="332" ht="20" customHeight="1">
      <c r="A332" s="20" t="n">
        <v>330</v>
      </c>
      <c r="B332" s="21" t="inlineStr">
        <is>
          <t>Кііт кава та їжа</t>
        </is>
      </c>
      <c r="C332" s="21" t="inlineStr">
        <is>
          <t>Львів</t>
        </is>
      </c>
      <c r="D332" s="23" t="inlineStr"/>
      <c r="E332" s="23" t="inlineStr"/>
      <c r="F332" s="23" t="inlineStr"/>
      <c r="G332" s="25" t="inlineStr">
        <is>
          <t>📍</t>
        </is>
      </c>
      <c r="H332" s="23" t="inlineStr"/>
      <c r="I332" s="23" t="inlineStr"/>
      <c r="J332" s="40" t="inlineStr">
        <is>
          <t>🔥 Без сайту</t>
        </is>
      </c>
      <c r="K332" s="37" t="inlineStr">
        <is>
          <t>❌</t>
        </is>
      </c>
      <c r="L332" s="27" t="inlineStr">
        <is>
          <t>❌</t>
        </is>
      </c>
      <c r="M332" s="38" t="inlineStr">
        <is>
          <t>🟢 A</t>
        </is>
      </c>
      <c r="N332" s="21" t="inlineStr"/>
      <c r="O332" s="21" t="inlineStr"/>
      <c r="P332" s="23" t="inlineStr">
        <is>
          <t>—</t>
        </is>
      </c>
      <c r="Q332" s="23" t="inlineStr"/>
      <c r="R332" s="28" t="n"/>
      <c r="S332" s="23" t="inlineStr"/>
      <c r="T332" s="19" t="inlineStr">
        <is>
          <t>🟡 Новий</t>
        </is>
      </c>
      <c r="U332" s="21" t="inlineStr"/>
      <c r="V332" s="28" t="n"/>
      <c r="W332" s="21" t="inlineStr"/>
    </row>
    <row r="333" ht="20" customHeight="1">
      <c r="A333" s="9" t="n">
        <v>331</v>
      </c>
      <c r="B333" s="10" t="inlineStr">
        <is>
          <t>Латте сніданок клуб</t>
        </is>
      </c>
      <c r="C333" s="10" t="inlineStr">
        <is>
          <t>Львів</t>
        </is>
      </c>
      <c r="D333" s="11" t="inlineStr"/>
      <c r="E333" s="11" t="inlineStr"/>
      <c r="F333" s="11" t="inlineStr"/>
      <c r="G333" s="13" t="inlineStr">
        <is>
          <t>📍</t>
        </is>
      </c>
      <c r="H333" s="11" t="inlineStr"/>
      <c r="I333" s="11" t="inlineStr"/>
      <c r="J333" s="40" t="inlineStr">
        <is>
          <t>🔥 Без сайту</t>
        </is>
      </c>
      <c r="K333" s="39" t="inlineStr">
        <is>
          <t>❌</t>
        </is>
      </c>
      <c r="L333" s="16" t="inlineStr">
        <is>
          <t>❌</t>
        </is>
      </c>
      <c r="M333" s="38" t="inlineStr">
        <is>
          <t>🟢 A</t>
        </is>
      </c>
      <c r="N333" s="10" t="inlineStr"/>
      <c r="O333" s="10" t="inlineStr"/>
      <c r="P333" s="11" t="inlineStr">
        <is>
          <t>—</t>
        </is>
      </c>
      <c r="Q333" s="11" t="inlineStr"/>
      <c r="R333" s="18" t="n"/>
      <c r="S333" s="11" t="inlineStr"/>
      <c r="T333" s="19" t="inlineStr">
        <is>
          <t>🟡 Новий</t>
        </is>
      </c>
      <c r="U333" s="10" t="inlineStr"/>
      <c r="V333" s="18" t="n"/>
      <c r="W333" s="10" t="inlineStr"/>
    </row>
    <row r="334" ht="20" customHeight="1">
      <c r="A334" s="20" t="n">
        <v>332</v>
      </c>
      <c r="B334" s="21" t="inlineStr">
        <is>
          <t>Лев</t>
        </is>
      </c>
      <c r="C334" s="21" t="inlineStr">
        <is>
          <t>вул. вулиця Академіка Філарета Колесси, 5, Львів</t>
        </is>
      </c>
      <c r="D334" s="23" t="inlineStr"/>
      <c r="E334" s="23" t="inlineStr"/>
      <c r="F334" s="23" t="inlineStr"/>
      <c r="G334" s="25" t="inlineStr">
        <is>
          <t>📍</t>
        </is>
      </c>
      <c r="H334" s="23" t="inlineStr"/>
      <c r="I334" s="23" t="inlineStr"/>
      <c r="J334" s="40" t="inlineStr">
        <is>
          <t>🔥 Без сайту</t>
        </is>
      </c>
      <c r="K334" s="37" t="inlineStr">
        <is>
          <t>❌</t>
        </is>
      </c>
      <c r="L334" s="27" t="inlineStr">
        <is>
          <t>❌</t>
        </is>
      </c>
      <c r="M334" s="38" t="inlineStr">
        <is>
          <t>🟢 A</t>
        </is>
      </c>
      <c r="N334" s="21" t="inlineStr"/>
      <c r="O334" s="21" t="inlineStr"/>
      <c r="P334" s="23" t="inlineStr">
        <is>
          <t>—</t>
        </is>
      </c>
      <c r="Q334" s="23" t="inlineStr"/>
      <c r="R334" s="28" t="n"/>
      <c r="S334" s="23" t="inlineStr"/>
      <c r="T334" s="19" t="inlineStr">
        <is>
          <t>🟡 Новий</t>
        </is>
      </c>
      <c r="U334" s="21" t="inlineStr"/>
      <c r="V334" s="28" t="n"/>
      <c r="W334" s="21" t="inlineStr"/>
    </row>
    <row r="335" ht="20" customHeight="1">
      <c r="A335" s="9" t="n">
        <v>333</v>
      </c>
      <c r="B335" s="10" t="inlineStr">
        <is>
          <t>Левандівський газда</t>
        </is>
      </c>
      <c r="C335" s="10" t="inlineStr">
        <is>
          <t>Львів</t>
        </is>
      </c>
      <c r="D335" s="11" t="inlineStr"/>
      <c r="E335" s="11" t="inlineStr"/>
      <c r="F335" s="11" t="inlineStr"/>
      <c r="G335" s="13" t="inlineStr">
        <is>
          <t>📍</t>
        </is>
      </c>
      <c r="H335" s="11" t="inlineStr"/>
      <c r="I335" s="11" t="inlineStr"/>
      <c r="J335" s="40" t="inlineStr">
        <is>
          <t>🔥 Без сайту</t>
        </is>
      </c>
      <c r="K335" s="39" t="inlineStr">
        <is>
          <t>❌</t>
        </is>
      </c>
      <c r="L335" s="16" t="inlineStr">
        <is>
          <t>❌</t>
        </is>
      </c>
      <c r="M335" s="38" t="inlineStr">
        <is>
          <t>🟢 A</t>
        </is>
      </c>
      <c r="N335" s="10" t="inlineStr"/>
      <c r="O335" s="10" t="inlineStr"/>
      <c r="P335" s="11" t="inlineStr">
        <is>
          <t>—</t>
        </is>
      </c>
      <c r="Q335" s="11" t="inlineStr"/>
      <c r="R335" s="18" t="n"/>
      <c r="S335" s="11" t="inlineStr"/>
      <c r="T335" s="19" t="inlineStr">
        <is>
          <t>🟡 Новий</t>
        </is>
      </c>
      <c r="U335" s="10" t="inlineStr"/>
      <c r="V335" s="18" t="n"/>
      <c r="W335" s="10" t="inlineStr"/>
    </row>
    <row r="336" ht="20" customHeight="1">
      <c r="A336" s="20" t="n">
        <v>334</v>
      </c>
      <c r="B336" s="21" t="inlineStr">
        <is>
          <t>ЛеоКС</t>
        </is>
      </c>
      <c r="C336" s="21" t="inlineStr">
        <is>
          <t>Львів</t>
        </is>
      </c>
      <c r="D336" s="23" t="inlineStr"/>
      <c r="E336" s="23" t="inlineStr"/>
      <c r="F336" s="23" t="inlineStr"/>
      <c r="G336" s="25" t="inlineStr">
        <is>
          <t>📍</t>
        </is>
      </c>
      <c r="H336" s="23" t="inlineStr"/>
      <c r="I336" s="23" t="inlineStr"/>
      <c r="J336" s="40" t="inlineStr">
        <is>
          <t>🔥 Без сайту</t>
        </is>
      </c>
      <c r="K336" s="37" t="inlineStr">
        <is>
          <t>❌</t>
        </is>
      </c>
      <c r="L336" s="27" t="inlineStr">
        <is>
          <t>❌</t>
        </is>
      </c>
      <c r="M336" s="38" t="inlineStr">
        <is>
          <t>🟢 A</t>
        </is>
      </c>
      <c r="N336" s="21" t="inlineStr"/>
      <c r="O336" s="21" t="inlineStr"/>
      <c r="P336" s="23" t="inlineStr">
        <is>
          <t>—</t>
        </is>
      </c>
      <c r="Q336" s="23" t="inlineStr"/>
      <c r="R336" s="28" t="n"/>
      <c r="S336" s="23" t="inlineStr"/>
      <c r="T336" s="19" t="inlineStr">
        <is>
          <t>🟡 Новий</t>
        </is>
      </c>
      <c r="U336" s="21" t="inlineStr"/>
      <c r="V336" s="28" t="n"/>
      <c r="W336" s="21" t="inlineStr"/>
    </row>
    <row r="337" ht="20" customHeight="1">
      <c r="A337" s="9" t="n">
        <v>335</v>
      </c>
      <c r="B337" s="10" t="inlineStr">
        <is>
          <t>Львів'янка</t>
        </is>
      </c>
      <c r="C337" s="10" t="inlineStr">
        <is>
          <t>Львів</t>
        </is>
      </c>
      <c r="D337" s="11" t="inlineStr"/>
      <c r="E337" s="11" t="inlineStr"/>
      <c r="F337" s="11" t="inlineStr"/>
      <c r="G337" s="13" t="inlineStr">
        <is>
          <t>📍</t>
        </is>
      </c>
      <c r="H337" s="11" t="inlineStr"/>
      <c r="I337" s="11" t="inlineStr"/>
      <c r="J337" s="40" t="inlineStr">
        <is>
          <t>🔥 Без сайту</t>
        </is>
      </c>
      <c r="K337" s="39" t="inlineStr">
        <is>
          <t>❌</t>
        </is>
      </c>
      <c r="L337" s="16" t="inlineStr">
        <is>
          <t>❌</t>
        </is>
      </c>
      <c r="M337" s="38" t="inlineStr">
        <is>
          <t>🟢 A</t>
        </is>
      </c>
      <c r="N337" s="10" t="inlineStr"/>
      <c r="O337" s="10" t="inlineStr"/>
      <c r="P337" s="11" t="inlineStr">
        <is>
          <t>—</t>
        </is>
      </c>
      <c r="Q337" s="11" t="inlineStr"/>
      <c r="R337" s="18" t="n"/>
      <c r="S337" s="11" t="inlineStr"/>
      <c r="T337" s="19" t="inlineStr">
        <is>
          <t>🟡 Новий</t>
        </is>
      </c>
      <c r="U337" s="10" t="inlineStr"/>
      <c r="V337" s="18" t="n"/>
      <c r="W337" s="10" t="inlineStr"/>
    </row>
    <row r="338" ht="20" customHeight="1">
      <c r="A338" s="20" t="n">
        <v>336</v>
      </c>
      <c r="B338" s="21" t="inlineStr">
        <is>
          <t>Львівський Цимус</t>
        </is>
      </c>
      <c r="C338" s="21" t="inlineStr">
        <is>
          <t>вул. вулиця Митрополита Антонія Ангеловича, 26, Львів</t>
        </is>
      </c>
      <c r="D338" s="22" t="inlineStr">
        <is>
          <t>+380 98 476 1941</t>
        </is>
      </c>
      <c r="E338" s="23" t="inlineStr"/>
      <c r="F338" s="23" t="inlineStr"/>
      <c r="G338" s="25" t="inlineStr">
        <is>
          <t>📍</t>
        </is>
      </c>
      <c r="H338" s="23" t="inlineStr"/>
      <c r="I338" s="23" t="inlineStr"/>
      <c r="J338" s="40" t="inlineStr">
        <is>
          <t>🔥 Без сайту</t>
        </is>
      </c>
      <c r="K338" s="37" t="inlineStr">
        <is>
          <t>❌</t>
        </is>
      </c>
      <c r="L338" s="27" t="inlineStr">
        <is>
          <t>❌</t>
        </is>
      </c>
      <c r="M338" s="38" t="inlineStr">
        <is>
          <t>🟢 A</t>
        </is>
      </c>
      <c r="N338" s="21" t="inlineStr"/>
      <c r="O338" s="21" t="inlineStr"/>
      <c r="P338" s="23" t="inlineStr">
        <is>
          <t>—</t>
        </is>
      </c>
      <c r="Q338" s="23" t="inlineStr"/>
      <c r="R338" s="28" t="n"/>
      <c r="S338" s="23" t="inlineStr"/>
      <c r="T338" s="19" t="inlineStr">
        <is>
          <t>🟡 Новий</t>
        </is>
      </c>
      <c r="U338" s="21" t="inlineStr"/>
      <c r="V338" s="28" t="n"/>
      <c r="W338" s="21" t="inlineStr"/>
    </row>
    <row r="339" ht="20" customHeight="1">
      <c r="A339" s="9" t="n">
        <v>337</v>
      </c>
      <c r="B339" s="10" t="inlineStr">
        <is>
          <t>Львівський вандлер</t>
        </is>
      </c>
      <c r="C339" s="10" t="inlineStr">
        <is>
          <t>Львів</t>
        </is>
      </c>
      <c r="D339" s="11" t="inlineStr"/>
      <c r="E339" s="11" t="inlineStr"/>
      <c r="F339" s="11" t="inlineStr"/>
      <c r="G339" s="13" t="inlineStr">
        <is>
          <t>📍</t>
        </is>
      </c>
      <c r="H339" s="11" t="inlineStr"/>
      <c r="I339" s="11" t="inlineStr"/>
      <c r="J339" s="40" t="inlineStr">
        <is>
          <t>🔥 Без сайту</t>
        </is>
      </c>
      <c r="K339" s="39" t="inlineStr">
        <is>
          <t>❌</t>
        </is>
      </c>
      <c r="L339" s="16" t="inlineStr">
        <is>
          <t>❌</t>
        </is>
      </c>
      <c r="M339" s="38" t="inlineStr">
        <is>
          <t>🟢 A</t>
        </is>
      </c>
      <c r="N339" s="10" t="inlineStr"/>
      <c r="O339" s="10" t="inlineStr"/>
      <c r="P339" s="11" t="inlineStr">
        <is>
          <t>—</t>
        </is>
      </c>
      <c r="Q339" s="11" t="inlineStr"/>
      <c r="R339" s="18" t="n"/>
      <c r="S339" s="11" t="inlineStr"/>
      <c r="T339" s="19" t="inlineStr">
        <is>
          <t>🟡 Новий</t>
        </is>
      </c>
      <c r="U339" s="10" t="inlineStr"/>
      <c r="V339" s="18" t="n"/>
      <c r="W339" s="10" t="inlineStr"/>
    </row>
    <row r="340" ht="20" customHeight="1">
      <c r="A340" s="20" t="n">
        <v>338</v>
      </c>
      <c r="B340" s="21" t="inlineStr">
        <is>
          <t>Львівський потяг</t>
        </is>
      </c>
      <c r="C340" s="21" t="inlineStr">
        <is>
          <t>вул. Чернівецька вулиця, 21, Львів</t>
        </is>
      </c>
      <c r="D340" s="22" t="inlineStr">
        <is>
          <t>+380 67 373 7722</t>
        </is>
      </c>
      <c r="E340" s="23" t="inlineStr"/>
      <c r="F340" s="23" t="inlineStr"/>
      <c r="G340" s="25" t="inlineStr">
        <is>
          <t>📍</t>
        </is>
      </c>
      <c r="H340" s="23" t="inlineStr"/>
      <c r="I340" s="23" t="inlineStr"/>
      <c r="J340" s="40" t="inlineStr">
        <is>
          <t>🔥 Без сайту</t>
        </is>
      </c>
      <c r="K340" s="37" t="inlineStr">
        <is>
          <t>❌</t>
        </is>
      </c>
      <c r="L340" s="27" t="inlineStr">
        <is>
          <t>❌</t>
        </is>
      </c>
      <c r="M340" s="38" t="inlineStr">
        <is>
          <t>🟢 A</t>
        </is>
      </c>
      <c r="N340" s="21" t="inlineStr"/>
      <c r="O340" s="21" t="inlineStr"/>
      <c r="P340" s="23" t="inlineStr">
        <is>
          <t>—</t>
        </is>
      </c>
      <c r="Q340" s="23" t="inlineStr"/>
      <c r="R340" s="28" t="n"/>
      <c r="S340" s="23" t="inlineStr"/>
      <c r="T340" s="19" t="inlineStr">
        <is>
          <t>🟡 Новий</t>
        </is>
      </c>
      <c r="U340" s="21" t="inlineStr"/>
      <c r="V340" s="28" t="n"/>
      <c r="W340" s="21" t="inlineStr"/>
    </row>
    <row r="341" ht="20" customHeight="1">
      <c r="A341" s="9" t="n">
        <v>339</v>
      </c>
      <c r="B341" s="10" t="inlineStr">
        <is>
          <t>Любомила</t>
        </is>
      </c>
      <c r="C341" s="10" t="inlineStr">
        <is>
          <t>Львів</t>
        </is>
      </c>
      <c r="D341" s="11" t="inlineStr"/>
      <c r="E341" s="11" t="inlineStr"/>
      <c r="F341" s="11" t="inlineStr"/>
      <c r="G341" s="13" t="inlineStr">
        <is>
          <t>📍</t>
        </is>
      </c>
      <c r="H341" s="11" t="inlineStr"/>
      <c r="I341" s="11" t="inlineStr"/>
      <c r="J341" s="40" t="inlineStr">
        <is>
          <t>🔥 Без сайту</t>
        </is>
      </c>
      <c r="K341" s="39" t="inlineStr">
        <is>
          <t>❌</t>
        </is>
      </c>
      <c r="L341" s="16" t="inlineStr">
        <is>
          <t>❌</t>
        </is>
      </c>
      <c r="M341" s="38" t="inlineStr">
        <is>
          <t>🟢 A</t>
        </is>
      </c>
      <c r="N341" s="10" t="inlineStr"/>
      <c r="O341" s="10" t="inlineStr"/>
      <c r="P341" s="11" t="inlineStr">
        <is>
          <t>—</t>
        </is>
      </c>
      <c r="Q341" s="11" t="inlineStr"/>
      <c r="R341" s="18" t="n"/>
      <c r="S341" s="11" t="inlineStr"/>
      <c r="T341" s="19" t="inlineStr">
        <is>
          <t>🟡 Новий</t>
        </is>
      </c>
      <c r="U341" s="10" t="inlineStr"/>
      <c r="V341" s="18" t="n"/>
      <c r="W341" s="10" t="inlineStr"/>
    </row>
    <row r="342" ht="20" customHeight="1">
      <c r="A342" s="20" t="n">
        <v>340</v>
      </c>
      <c r="B342" s="21" t="inlineStr">
        <is>
          <t>ЛєКебаб</t>
        </is>
      </c>
      <c r="C342" s="21" t="inlineStr">
        <is>
          <t>Львів</t>
        </is>
      </c>
      <c r="D342" s="23" t="inlineStr"/>
      <c r="E342" s="23" t="inlineStr"/>
      <c r="F342" s="23" t="inlineStr"/>
      <c r="G342" s="25" t="inlineStr">
        <is>
          <t>📍</t>
        </is>
      </c>
      <c r="H342" s="23" t="inlineStr"/>
      <c r="I342" s="23" t="inlineStr"/>
      <c r="J342" s="40" t="inlineStr">
        <is>
          <t>🔥 Без сайту</t>
        </is>
      </c>
      <c r="K342" s="37" t="inlineStr">
        <is>
          <t>❌</t>
        </is>
      </c>
      <c r="L342" s="27" t="inlineStr">
        <is>
          <t>❌</t>
        </is>
      </c>
      <c r="M342" s="38" t="inlineStr">
        <is>
          <t>🟢 A</t>
        </is>
      </c>
      <c r="N342" s="21" t="inlineStr"/>
      <c r="O342" s="21" t="inlineStr"/>
      <c r="P342" s="23" t="inlineStr">
        <is>
          <t>—</t>
        </is>
      </c>
      <c r="Q342" s="23" t="inlineStr"/>
      <c r="R342" s="28" t="n"/>
      <c r="S342" s="23" t="inlineStr"/>
      <c r="T342" s="19" t="inlineStr">
        <is>
          <t>🟡 Новий</t>
        </is>
      </c>
      <c r="U342" s="21" t="inlineStr"/>
      <c r="V342" s="28" t="n"/>
      <c r="W342" s="21" t="inlineStr"/>
    </row>
    <row r="343" ht="20" customHeight="1">
      <c r="A343" s="9" t="n">
        <v>341</v>
      </c>
      <c r="B343" s="10" t="inlineStr">
        <is>
          <t>Літній сад</t>
        </is>
      </c>
      <c r="C343" s="10" t="inlineStr">
        <is>
          <t>Львів</t>
        </is>
      </c>
      <c r="D343" s="11" t="inlineStr"/>
      <c r="E343" s="11" t="inlineStr"/>
      <c r="F343" s="11" t="inlineStr"/>
      <c r="G343" s="13" t="inlineStr">
        <is>
          <t>📍</t>
        </is>
      </c>
      <c r="H343" s="11" t="inlineStr"/>
      <c r="I343" s="11" t="inlineStr"/>
      <c r="J343" s="40" t="inlineStr">
        <is>
          <t>🔥 Без сайту</t>
        </is>
      </c>
      <c r="K343" s="39" t="inlineStr">
        <is>
          <t>❌</t>
        </is>
      </c>
      <c r="L343" s="16" t="inlineStr">
        <is>
          <t>❌</t>
        </is>
      </c>
      <c r="M343" s="38" t="inlineStr">
        <is>
          <t>🟢 A</t>
        </is>
      </c>
      <c r="N343" s="10" t="inlineStr"/>
      <c r="O343" s="10" t="inlineStr"/>
      <c r="P343" s="11" t="inlineStr">
        <is>
          <t>—</t>
        </is>
      </c>
      <c r="Q343" s="11" t="inlineStr"/>
      <c r="R343" s="18" t="n"/>
      <c r="S343" s="11" t="inlineStr"/>
      <c r="T343" s="19" t="inlineStr">
        <is>
          <t>🟡 Новий</t>
        </is>
      </c>
      <c r="U343" s="10" t="inlineStr"/>
      <c r="V343" s="18" t="n"/>
      <c r="W343" s="10" t="inlineStr"/>
    </row>
    <row r="344" ht="20" customHeight="1">
      <c r="A344" s="20" t="n">
        <v>342</v>
      </c>
      <c r="B344" s="21" t="inlineStr">
        <is>
          <t>Мазурек</t>
        </is>
      </c>
      <c r="C344" s="21" t="inlineStr">
        <is>
          <t>Львів</t>
        </is>
      </c>
      <c r="D344" s="23" t="inlineStr"/>
      <c r="E344" s="23" t="inlineStr"/>
      <c r="F344" s="23" t="inlineStr"/>
      <c r="G344" s="25" t="inlineStr">
        <is>
          <t>📍</t>
        </is>
      </c>
      <c r="H344" s="23" t="inlineStr"/>
      <c r="I344" s="23" t="inlineStr"/>
      <c r="J344" s="40" t="inlineStr">
        <is>
          <t>🔥 Без сайту</t>
        </is>
      </c>
      <c r="K344" s="37" t="inlineStr">
        <is>
          <t>❌</t>
        </is>
      </c>
      <c r="L344" s="27" t="inlineStr">
        <is>
          <t>❌</t>
        </is>
      </c>
      <c r="M344" s="38" t="inlineStr">
        <is>
          <t>🟢 A</t>
        </is>
      </c>
      <c r="N344" s="21" t="inlineStr"/>
      <c r="O344" s="21" t="inlineStr"/>
      <c r="P344" s="23" t="inlineStr">
        <is>
          <t>—</t>
        </is>
      </c>
      <c r="Q344" s="23" t="inlineStr"/>
      <c r="R344" s="28" t="n"/>
      <c r="S344" s="23" t="inlineStr"/>
      <c r="T344" s="19" t="inlineStr">
        <is>
          <t>🟡 Новий</t>
        </is>
      </c>
      <c r="U344" s="21" t="inlineStr"/>
      <c r="V344" s="28" t="n"/>
      <c r="W344" s="21" t="inlineStr"/>
    </row>
    <row r="345" ht="20" customHeight="1">
      <c r="A345" s="9" t="n">
        <v>343</v>
      </c>
      <c r="B345" s="10" t="inlineStr">
        <is>
          <t>Маленька пекарня</t>
        </is>
      </c>
      <c r="C345" s="10" t="inlineStr">
        <is>
          <t>Львів</t>
        </is>
      </c>
      <c r="D345" s="11" t="inlineStr"/>
      <c r="E345" s="11" t="inlineStr"/>
      <c r="F345" s="11" t="inlineStr"/>
      <c r="G345" s="13" t="inlineStr">
        <is>
          <t>📍</t>
        </is>
      </c>
      <c r="H345" s="11" t="inlineStr"/>
      <c r="I345" s="11" t="inlineStr"/>
      <c r="J345" s="40" t="inlineStr">
        <is>
          <t>🔥 Без сайту</t>
        </is>
      </c>
      <c r="K345" s="39" t="inlineStr">
        <is>
          <t>❌</t>
        </is>
      </c>
      <c r="L345" s="16" t="inlineStr">
        <is>
          <t>❌</t>
        </is>
      </c>
      <c r="M345" s="38" t="inlineStr">
        <is>
          <t>🟢 A</t>
        </is>
      </c>
      <c r="N345" s="10" t="inlineStr"/>
      <c r="O345" s="10" t="inlineStr"/>
      <c r="P345" s="11" t="inlineStr">
        <is>
          <t>—</t>
        </is>
      </c>
      <c r="Q345" s="11" t="inlineStr"/>
      <c r="R345" s="18" t="n"/>
      <c r="S345" s="11" t="inlineStr"/>
      <c r="T345" s="19" t="inlineStr">
        <is>
          <t>🟡 Новий</t>
        </is>
      </c>
      <c r="U345" s="10" t="inlineStr"/>
      <c r="V345" s="18" t="n"/>
      <c r="W345" s="10" t="inlineStr"/>
    </row>
    <row r="346" ht="20" customHeight="1">
      <c r="A346" s="20" t="n">
        <v>344</v>
      </c>
      <c r="B346" s="21" t="inlineStr">
        <is>
          <t>Мандрівничок</t>
        </is>
      </c>
      <c r="C346" s="21" t="inlineStr">
        <is>
          <t>Львів</t>
        </is>
      </c>
      <c r="D346" s="23" t="inlineStr"/>
      <c r="E346" s="23" t="inlineStr"/>
      <c r="F346" s="23" t="inlineStr"/>
      <c r="G346" s="25" t="inlineStr">
        <is>
          <t>📍</t>
        </is>
      </c>
      <c r="H346" s="23" t="inlineStr"/>
      <c r="I346" s="23" t="inlineStr"/>
      <c r="J346" s="40" t="inlineStr">
        <is>
          <t>🔥 Без сайту</t>
        </is>
      </c>
      <c r="K346" s="37" t="inlineStr">
        <is>
          <t>❌</t>
        </is>
      </c>
      <c r="L346" s="27" t="inlineStr">
        <is>
          <t>❌</t>
        </is>
      </c>
      <c r="M346" s="38" t="inlineStr">
        <is>
          <t>🟢 A</t>
        </is>
      </c>
      <c r="N346" s="21" t="inlineStr"/>
      <c r="O346" s="21" t="inlineStr"/>
      <c r="P346" s="23" t="inlineStr">
        <is>
          <t>—</t>
        </is>
      </c>
      <c r="Q346" s="23" t="inlineStr"/>
      <c r="R346" s="28" t="n"/>
      <c r="S346" s="23" t="inlineStr"/>
      <c r="T346" s="19" t="inlineStr">
        <is>
          <t>🟡 Новий</t>
        </is>
      </c>
      <c r="U346" s="21" t="inlineStr"/>
      <c r="V346" s="28" t="n"/>
      <c r="W346" s="21" t="inlineStr"/>
    </row>
    <row r="347" ht="20" customHeight="1">
      <c r="A347" s="9" t="n">
        <v>345</v>
      </c>
      <c r="B347" s="10" t="inlineStr">
        <is>
          <t>Мартуся</t>
        </is>
      </c>
      <c r="C347" s="10" t="inlineStr">
        <is>
          <t>Львів</t>
        </is>
      </c>
      <c r="D347" s="11" t="inlineStr"/>
      <c r="E347" s="11" t="inlineStr"/>
      <c r="F347" s="11" t="inlineStr"/>
      <c r="G347" s="13" t="inlineStr">
        <is>
          <t>📍</t>
        </is>
      </c>
      <c r="H347" s="11" t="inlineStr"/>
      <c r="I347" s="11" t="inlineStr"/>
      <c r="J347" s="40" t="inlineStr">
        <is>
          <t>🔥 Без сайту</t>
        </is>
      </c>
      <c r="K347" s="39" t="inlineStr">
        <is>
          <t>❌</t>
        </is>
      </c>
      <c r="L347" s="16" t="inlineStr">
        <is>
          <t>❌</t>
        </is>
      </c>
      <c r="M347" s="38" t="inlineStr">
        <is>
          <t>🟢 A</t>
        </is>
      </c>
      <c r="N347" s="10" t="inlineStr"/>
      <c r="O347" s="10" t="inlineStr"/>
      <c r="P347" s="11" t="inlineStr">
        <is>
          <t>—</t>
        </is>
      </c>
      <c r="Q347" s="11" t="inlineStr"/>
      <c r="R347" s="18" t="n"/>
      <c r="S347" s="11" t="inlineStr"/>
      <c r="T347" s="19" t="inlineStr">
        <is>
          <t>🟡 Новий</t>
        </is>
      </c>
      <c r="U347" s="10" t="inlineStr"/>
      <c r="V347" s="18" t="n"/>
      <c r="W347" s="10" t="inlineStr"/>
    </row>
    <row r="348" ht="20" customHeight="1">
      <c r="A348" s="20" t="n">
        <v>346</v>
      </c>
      <c r="B348" s="21" t="inlineStr">
        <is>
          <t>Марципан</t>
        </is>
      </c>
      <c r="C348" s="21" t="inlineStr">
        <is>
          <t>вул. Пасічна вулиця, 89, Львів</t>
        </is>
      </c>
      <c r="D348" s="23" t="inlineStr"/>
      <c r="E348" s="23" t="inlineStr"/>
      <c r="F348" s="23" t="inlineStr"/>
      <c r="G348" s="25" t="inlineStr">
        <is>
          <t>📍</t>
        </is>
      </c>
      <c r="H348" s="23" t="inlineStr"/>
      <c r="I348" s="23" t="inlineStr"/>
      <c r="J348" s="40" t="inlineStr">
        <is>
          <t>🔥 Без сайту</t>
        </is>
      </c>
      <c r="K348" s="37" t="inlineStr">
        <is>
          <t>❌</t>
        </is>
      </c>
      <c r="L348" s="27" t="inlineStr">
        <is>
          <t>❌</t>
        </is>
      </c>
      <c r="M348" s="38" t="inlineStr">
        <is>
          <t>🟢 A</t>
        </is>
      </c>
      <c r="N348" s="21" t="inlineStr"/>
      <c r="O348" s="21" t="inlineStr"/>
      <c r="P348" s="23" t="inlineStr">
        <is>
          <t>—</t>
        </is>
      </c>
      <c r="Q348" s="23" t="inlineStr"/>
      <c r="R348" s="28" t="n"/>
      <c r="S348" s="23" t="inlineStr"/>
      <c r="T348" s="19" t="inlineStr">
        <is>
          <t>🟡 Новий</t>
        </is>
      </c>
      <c r="U348" s="21" t="inlineStr"/>
      <c r="V348" s="28" t="n"/>
      <c r="W348" s="21" t="inlineStr"/>
    </row>
    <row r="349" ht="20" customHeight="1">
      <c r="A349" s="9" t="n">
        <v>347</v>
      </c>
      <c r="B349" s="10" t="inlineStr">
        <is>
          <t>Маслюк</t>
        </is>
      </c>
      <c r="C349" s="10" t="inlineStr">
        <is>
          <t>вул. Медалістів, Львів</t>
        </is>
      </c>
      <c r="D349" s="11" t="inlineStr"/>
      <c r="E349" s="11" t="inlineStr"/>
      <c r="F349" s="11" t="inlineStr"/>
      <c r="G349" s="13" t="inlineStr">
        <is>
          <t>📍</t>
        </is>
      </c>
      <c r="H349" s="11" t="inlineStr"/>
      <c r="I349" s="11" t="inlineStr"/>
      <c r="J349" s="40" t="inlineStr">
        <is>
          <t>🔥 Без сайту</t>
        </is>
      </c>
      <c r="K349" s="39" t="inlineStr">
        <is>
          <t>❌</t>
        </is>
      </c>
      <c r="L349" s="16" t="inlineStr">
        <is>
          <t>❌</t>
        </is>
      </c>
      <c r="M349" s="38" t="inlineStr">
        <is>
          <t>🟢 A</t>
        </is>
      </c>
      <c r="N349" s="10" t="inlineStr"/>
      <c r="O349" s="10" t="inlineStr"/>
      <c r="P349" s="11" t="inlineStr">
        <is>
          <t>—</t>
        </is>
      </c>
      <c r="Q349" s="11" t="inlineStr"/>
      <c r="R349" s="18" t="n"/>
      <c r="S349" s="11" t="inlineStr"/>
      <c r="T349" s="19" t="inlineStr">
        <is>
          <t>🟡 Новий</t>
        </is>
      </c>
      <c r="U349" s="10" t="inlineStr"/>
      <c r="V349" s="18" t="n"/>
      <c r="W349" s="10" t="inlineStr"/>
    </row>
    <row r="350" ht="20" customHeight="1">
      <c r="A350" s="20" t="n">
        <v>348</v>
      </c>
      <c r="B350" s="21" t="inlineStr">
        <is>
          <t>Медея</t>
        </is>
      </c>
      <c r="C350" s="21" t="inlineStr">
        <is>
          <t>Львів</t>
        </is>
      </c>
      <c r="D350" s="23" t="inlineStr"/>
      <c r="E350" s="23" t="inlineStr"/>
      <c r="F350" s="23" t="inlineStr"/>
      <c r="G350" s="25" t="inlineStr">
        <is>
          <t>📍</t>
        </is>
      </c>
      <c r="H350" s="23" t="inlineStr"/>
      <c r="I350" s="23" t="inlineStr"/>
      <c r="J350" s="40" t="inlineStr">
        <is>
          <t>🔥 Без сайту</t>
        </is>
      </c>
      <c r="K350" s="37" t="inlineStr">
        <is>
          <t>❌</t>
        </is>
      </c>
      <c r="L350" s="27" t="inlineStr">
        <is>
          <t>❌</t>
        </is>
      </c>
      <c r="M350" s="38" t="inlineStr">
        <is>
          <t>🟢 A</t>
        </is>
      </c>
      <c r="N350" s="21" t="inlineStr"/>
      <c r="O350" s="21" t="inlineStr"/>
      <c r="P350" s="23" t="inlineStr">
        <is>
          <t>—</t>
        </is>
      </c>
      <c r="Q350" s="23" t="inlineStr"/>
      <c r="R350" s="28" t="n"/>
      <c r="S350" s="23" t="inlineStr"/>
      <c r="T350" s="19" t="inlineStr">
        <is>
          <t>🟡 Новий</t>
        </is>
      </c>
      <c r="U350" s="21" t="inlineStr"/>
      <c r="V350" s="28" t="n"/>
      <c r="W350" s="21" t="inlineStr"/>
    </row>
    <row r="351" ht="20" customHeight="1">
      <c r="A351" s="9" t="n">
        <v>349</v>
      </c>
      <c r="B351" s="10" t="inlineStr">
        <is>
          <t>Медівня</t>
        </is>
      </c>
      <c r="C351" s="10" t="inlineStr">
        <is>
          <t>вул. Краківська вулиця, 17, Львів</t>
        </is>
      </c>
      <c r="D351" s="11" t="inlineStr"/>
      <c r="E351" s="11" t="inlineStr"/>
      <c r="F351" s="11" t="inlineStr"/>
      <c r="G351" s="13" t="inlineStr">
        <is>
          <t>📍</t>
        </is>
      </c>
      <c r="H351" s="11" t="inlineStr"/>
      <c r="I351" s="11" t="inlineStr"/>
      <c r="J351" s="40" t="inlineStr">
        <is>
          <t>🔥 Без сайту</t>
        </is>
      </c>
      <c r="K351" s="39" t="inlineStr">
        <is>
          <t>❌</t>
        </is>
      </c>
      <c r="L351" s="16" t="inlineStr">
        <is>
          <t>❌</t>
        </is>
      </c>
      <c r="M351" s="38" t="inlineStr">
        <is>
          <t>🟢 A</t>
        </is>
      </c>
      <c r="N351" s="10" t="inlineStr"/>
      <c r="O351" s="10" t="inlineStr"/>
      <c r="P351" s="11" t="inlineStr">
        <is>
          <t>—</t>
        </is>
      </c>
      <c r="Q351" s="11" t="inlineStr"/>
      <c r="R351" s="18" t="n"/>
      <c r="S351" s="11" t="inlineStr"/>
      <c r="T351" s="19" t="inlineStr">
        <is>
          <t>🟡 Новий</t>
        </is>
      </c>
      <c r="U351" s="10" t="inlineStr"/>
      <c r="V351" s="18" t="n"/>
      <c r="W351" s="10" t="inlineStr"/>
    </row>
    <row r="352" ht="20" customHeight="1">
      <c r="A352" s="20" t="n">
        <v>350</v>
      </c>
      <c r="B352" s="21" t="inlineStr">
        <is>
          <t>Мирослава</t>
        </is>
      </c>
      <c r="C352" s="21" t="inlineStr">
        <is>
          <t>Львів</t>
        </is>
      </c>
      <c r="D352" s="23" t="inlineStr"/>
      <c r="E352" s="23" t="inlineStr"/>
      <c r="F352" s="23" t="inlineStr"/>
      <c r="G352" s="25" t="inlineStr">
        <is>
          <t>📍</t>
        </is>
      </c>
      <c r="H352" s="23" t="inlineStr"/>
      <c r="I352" s="23" t="inlineStr"/>
      <c r="J352" s="40" t="inlineStr">
        <is>
          <t>🔥 Без сайту</t>
        </is>
      </c>
      <c r="K352" s="37" t="inlineStr">
        <is>
          <t>❌</t>
        </is>
      </c>
      <c r="L352" s="27" t="inlineStr">
        <is>
          <t>❌</t>
        </is>
      </c>
      <c r="M352" s="38" t="inlineStr">
        <is>
          <t>🟢 A</t>
        </is>
      </c>
      <c r="N352" s="21" t="inlineStr"/>
      <c r="O352" s="21" t="inlineStr"/>
      <c r="P352" s="23" t="inlineStr">
        <is>
          <t>—</t>
        </is>
      </c>
      <c r="Q352" s="23" t="inlineStr"/>
      <c r="R352" s="28" t="n"/>
      <c r="S352" s="23" t="inlineStr"/>
      <c r="T352" s="19" t="inlineStr">
        <is>
          <t>🟡 Новий</t>
        </is>
      </c>
      <c r="U352" s="21" t="inlineStr"/>
      <c r="V352" s="28" t="n"/>
      <c r="W352" s="21" t="inlineStr"/>
    </row>
    <row r="353" ht="20" customHeight="1">
      <c r="A353" s="9" t="n">
        <v>351</v>
      </c>
      <c r="B353" s="10" t="inlineStr">
        <is>
          <t>Морква</t>
        </is>
      </c>
      <c r="C353" s="10" t="inlineStr">
        <is>
          <t>Львів</t>
        </is>
      </c>
      <c r="D353" s="11" t="inlineStr"/>
      <c r="E353" s="11" t="inlineStr"/>
      <c r="F353" s="11" t="inlineStr"/>
      <c r="G353" s="13" t="inlineStr">
        <is>
          <t>📍</t>
        </is>
      </c>
      <c r="H353" s="11" t="inlineStr"/>
      <c r="I353" s="11" t="inlineStr"/>
      <c r="J353" s="40" t="inlineStr">
        <is>
          <t>🔥 Без сайту</t>
        </is>
      </c>
      <c r="K353" s="39" t="inlineStr">
        <is>
          <t>❌</t>
        </is>
      </c>
      <c r="L353" s="16" t="inlineStr">
        <is>
          <t>❌</t>
        </is>
      </c>
      <c r="M353" s="38" t="inlineStr">
        <is>
          <t>🟢 A</t>
        </is>
      </c>
      <c r="N353" s="10" t="inlineStr"/>
      <c r="O353" s="10" t="inlineStr"/>
      <c r="P353" s="11" t="inlineStr">
        <is>
          <t>—</t>
        </is>
      </c>
      <c r="Q353" s="11" t="inlineStr"/>
      <c r="R353" s="18" t="n"/>
      <c r="S353" s="11" t="inlineStr"/>
      <c r="T353" s="19" t="inlineStr">
        <is>
          <t>🟡 Новий</t>
        </is>
      </c>
      <c r="U353" s="10" t="inlineStr"/>
      <c r="V353" s="18" t="n"/>
      <c r="W353" s="10" t="inlineStr"/>
    </row>
    <row r="354" ht="20" customHeight="1">
      <c r="A354" s="20" t="n">
        <v>352</v>
      </c>
      <c r="B354" s="21" t="inlineStr">
        <is>
          <t>Моцарт</t>
        </is>
      </c>
      <c r="C354" s="21" t="inlineStr">
        <is>
          <t>Львів</t>
        </is>
      </c>
      <c r="D354" s="23" t="inlineStr"/>
      <c r="E354" s="23" t="inlineStr"/>
      <c r="F354" s="23" t="inlineStr"/>
      <c r="G354" s="25" t="inlineStr">
        <is>
          <t>📍</t>
        </is>
      </c>
      <c r="H354" s="23" t="inlineStr"/>
      <c r="I354" s="23" t="inlineStr"/>
      <c r="J354" s="40" t="inlineStr">
        <is>
          <t>🔥 Без сайту</t>
        </is>
      </c>
      <c r="K354" s="37" t="inlineStr">
        <is>
          <t>❌</t>
        </is>
      </c>
      <c r="L354" s="27" t="inlineStr">
        <is>
          <t>❌</t>
        </is>
      </c>
      <c r="M354" s="38" t="inlineStr">
        <is>
          <t>🟢 A</t>
        </is>
      </c>
      <c r="N354" s="21" t="inlineStr"/>
      <c r="O354" s="21" t="inlineStr"/>
      <c r="P354" s="23" t="inlineStr">
        <is>
          <t>—</t>
        </is>
      </c>
      <c r="Q354" s="23" t="inlineStr"/>
      <c r="R354" s="28" t="n"/>
      <c r="S354" s="23" t="inlineStr"/>
      <c r="T354" s="19" t="inlineStr">
        <is>
          <t>🟡 Новий</t>
        </is>
      </c>
      <c r="U354" s="21" t="inlineStr"/>
      <c r="V354" s="28" t="n"/>
      <c r="W354" s="21" t="inlineStr"/>
    </row>
    <row r="355" ht="20" customHeight="1">
      <c r="A355" s="9" t="n">
        <v>353</v>
      </c>
      <c r="B355" s="10" t="inlineStr">
        <is>
          <t>Моя солодка мрія</t>
        </is>
      </c>
      <c r="C355" s="10" t="inlineStr">
        <is>
          <t>Львів</t>
        </is>
      </c>
      <c r="D355" s="33" t="inlineStr">
        <is>
          <t>+380672904144</t>
        </is>
      </c>
      <c r="E355" s="11" t="inlineStr"/>
      <c r="F355" s="11" t="inlineStr"/>
      <c r="G355" s="13" t="inlineStr">
        <is>
          <t>📍</t>
        </is>
      </c>
      <c r="H355" s="11" t="inlineStr"/>
      <c r="I355" s="11" t="inlineStr"/>
      <c r="J355" s="40" t="inlineStr">
        <is>
          <t>🔥 Без сайту</t>
        </is>
      </c>
      <c r="K355" s="39" t="inlineStr">
        <is>
          <t>❌</t>
        </is>
      </c>
      <c r="L355" s="16" t="inlineStr">
        <is>
          <t>❌</t>
        </is>
      </c>
      <c r="M355" s="38" t="inlineStr">
        <is>
          <t>🟢 A</t>
        </is>
      </c>
      <c r="N355" s="10" t="inlineStr"/>
      <c r="O355" s="10" t="inlineStr"/>
      <c r="P355" s="11" t="inlineStr">
        <is>
          <t>—</t>
        </is>
      </c>
      <c r="Q355" s="11" t="inlineStr"/>
      <c r="R355" s="18" t="n"/>
      <c r="S355" s="11" t="inlineStr"/>
      <c r="T355" s="19" t="inlineStr">
        <is>
          <t>🟡 Новий</t>
        </is>
      </c>
      <c r="U355" s="10" t="inlineStr"/>
      <c r="V355" s="18" t="n"/>
      <c r="W355" s="10" t="inlineStr"/>
    </row>
    <row r="356" ht="20" customHeight="1">
      <c r="A356" s="20" t="n">
        <v>354</v>
      </c>
      <c r="B356" s="21" t="inlineStr">
        <is>
          <t>Мрія</t>
        </is>
      </c>
      <c r="C356" s="21" t="inlineStr">
        <is>
          <t>Львів</t>
        </is>
      </c>
      <c r="D356" s="23" t="inlineStr"/>
      <c r="E356" s="23" t="inlineStr"/>
      <c r="F356" s="23" t="inlineStr"/>
      <c r="G356" s="25" t="inlineStr">
        <is>
          <t>📍</t>
        </is>
      </c>
      <c r="H356" s="23" t="inlineStr"/>
      <c r="I356" s="23" t="inlineStr"/>
      <c r="J356" s="40" t="inlineStr">
        <is>
          <t>🔥 Без сайту</t>
        </is>
      </c>
      <c r="K356" s="37" t="inlineStr">
        <is>
          <t>❌</t>
        </is>
      </c>
      <c r="L356" s="27" t="inlineStr">
        <is>
          <t>❌</t>
        </is>
      </c>
      <c r="M356" s="38" t="inlineStr">
        <is>
          <t>🟢 A</t>
        </is>
      </c>
      <c r="N356" s="21" t="inlineStr"/>
      <c r="O356" s="21" t="inlineStr"/>
      <c r="P356" s="23" t="inlineStr">
        <is>
          <t>—</t>
        </is>
      </c>
      <c r="Q356" s="23" t="inlineStr"/>
      <c r="R356" s="28" t="n"/>
      <c r="S356" s="23" t="inlineStr"/>
      <c r="T356" s="19" t="inlineStr">
        <is>
          <t>🟡 Новий</t>
        </is>
      </c>
      <c r="U356" s="21" t="inlineStr"/>
      <c r="V356" s="28" t="n"/>
      <c r="W356" s="21" t="inlineStr"/>
    </row>
    <row r="357" ht="20" customHeight="1">
      <c r="A357" s="9" t="n">
        <v>355</v>
      </c>
      <c r="B357" s="10" t="inlineStr">
        <is>
          <t>Музейне кафе</t>
        </is>
      </c>
      <c r="C357" s="10" t="inlineStr">
        <is>
          <t>Львів</t>
        </is>
      </c>
      <c r="D357" s="11" t="inlineStr"/>
      <c r="E357" s="11" t="inlineStr"/>
      <c r="F357" s="11" t="inlineStr"/>
      <c r="G357" s="13" t="inlineStr">
        <is>
          <t>📍</t>
        </is>
      </c>
      <c r="H357" s="11" t="inlineStr"/>
      <c r="I357" s="11" t="inlineStr"/>
      <c r="J357" s="40" t="inlineStr">
        <is>
          <t>🔥 Без сайту</t>
        </is>
      </c>
      <c r="K357" s="39" t="inlineStr">
        <is>
          <t>❌</t>
        </is>
      </c>
      <c r="L357" s="16" t="inlineStr">
        <is>
          <t>❌</t>
        </is>
      </c>
      <c r="M357" s="38" t="inlineStr">
        <is>
          <t>🟢 A</t>
        </is>
      </c>
      <c r="N357" s="10" t="inlineStr"/>
      <c r="O357" s="10" t="inlineStr"/>
      <c r="P357" s="11" t="inlineStr">
        <is>
          <t>—</t>
        </is>
      </c>
      <c r="Q357" s="11" t="inlineStr"/>
      <c r="R357" s="18" t="n"/>
      <c r="S357" s="11" t="inlineStr"/>
      <c r="T357" s="19" t="inlineStr">
        <is>
          <t>🟡 Новий</t>
        </is>
      </c>
      <c r="U357" s="10" t="inlineStr"/>
      <c r="V357" s="18" t="n"/>
      <c r="W357" s="10" t="inlineStr"/>
    </row>
    <row r="358" ht="20" customHeight="1">
      <c r="A358" s="20" t="n">
        <v>356</v>
      </c>
      <c r="B358" s="21" t="inlineStr">
        <is>
          <t>НУ «Львівська політехніка» Студентський комбінат харчування</t>
        </is>
      </c>
      <c r="C358" s="21" t="inlineStr">
        <is>
          <t>вул. вулиця Старосольських, 8, Львів</t>
        </is>
      </c>
      <c r="D358" s="23" t="inlineStr"/>
      <c r="E358" s="23" t="inlineStr"/>
      <c r="F358" s="23" t="inlineStr"/>
      <c r="G358" s="25" t="inlineStr">
        <is>
          <t>📍</t>
        </is>
      </c>
      <c r="H358" s="23" t="inlineStr"/>
      <c r="I358" s="23" t="inlineStr"/>
      <c r="J358" s="40" t="inlineStr">
        <is>
          <t>🔥 Без сайту</t>
        </is>
      </c>
      <c r="K358" s="37" t="inlineStr">
        <is>
          <t>❌</t>
        </is>
      </c>
      <c r="L358" s="27" t="inlineStr">
        <is>
          <t>❌</t>
        </is>
      </c>
      <c r="M358" s="38" t="inlineStr">
        <is>
          <t>🟢 A</t>
        </is>
      </c>
      <c r="N358" s="21" t="inlineStr"/>
      <c r="O358" s="21" t="inlineStr"/>
      <c r="P358" s="23" t="inlineStr">
        <is>
          <t>—</t>
        </is>
      </c>
      <c r="Q358" s="23" t="inlineStr"/>
      <c r="R358" s="28" t="n"/>
      <c r="S358" s="23" t="inlineStr"/>
      <c r="T358" s="19" t="inlineStr">
        <is>
          <t>🟡 Новий</t>
        </is>
      </c>
      <c r="U358" s="21" t="inlineStr"/>
      <c r="V358" s="28" t="n"/>
      <c r="W358" s="21" t="inlineStr"/>
    </row>
    <row r="359" ht="20" customHeight="1">
      <c r="A359" s="9" t="n">
        <v>357</v>
      </c>
      <c r="B359" s="10" t="inlineStr">
        <is>
          <t>На Бамбетлі</t>
        </is>
      </c>
      <c r="C359" s="10" t="inlineStr">
        <is>
          <t>Львів</t>
        </is>
      </c>
      <c r="D359" s="11" t="inlineStr"/>
      <c r="E359" s="11" t="inlineStr"/>
      <c r="F359" s="11" t="inlineStr"/>
      <c r="G359" s="13" t="inlineStr">
        <is>
          <t>📍</t>
        </is>
      </c>
      <c r="H359" s="11" t="inlineStr"/>
      <c r="I359" s="11" t="inlineStr"/>
      <c r="J359" s="40" t="inlineStr">
        <is>
          <t>🔥 Без сайту</t>
        </is>
      </c>
      <c r="K359" s="39" t="inlineStr">
        <is>
          <t>❌</t>
        </is>
      </c>
      <c r="L359" s="16" t="inlineStr">
        <is>
          <t>❌</t>
        </is>
      </c>
      <c r="M359" s="38" t="inlineStr">
        <is>
          <t>🟢 A</t>
        </is>
      </c>
      <c r="N359" s="10" t="inlineStr"/>
      <c r="O359" s="10" t="inlineStr"/>
      <c r="P359" s="11" t="inlineStr">
        <is>
          <t>—</t>
        </is>
      </c>
      <c r="Q359" s="11" t="inlineStr"/>
      <c r="R359" s="18" t="n"/>
      <c r="S359" s="11" t="inlineStr"/>
      <c r="T359" s="19" t="inlineStr">
        <is>
          <t>🟡 Новий</t>
        </is>
      </c>
      <c r="U359" s="10" t="inlineStr"/>
      <c r="V359" s="18" t="n"/>
      <c r="W359" s="10" t="inlineStr"/>
    </row>
    <row r="360" ht="20" customHeight="1">
      <c r="A360" s="20" t="n">
        <v>358</v>
      </c>
      <c r="B360" s="21" t="inlineStr">
        <is>
          <t>На розі</t>
        </is>
      </c>
      <c r="C360" s="21" t="inlineStr">
        <is>
          <t>Львів</t>
        </is>
      </c>
      <c r="D360" s="23" t="inlineStr"/>
      <c r="E360" s="23" t="inlineStr"/>
      <c r="F360" s="23" t="inlineStr"/>
      <c r="G360" s="25" t="inlineStr">
        <is>
          <t>📍</t>
        </is>
      </c>
      <c r="H360" s="23" t="inlineStr"/>
      <c r="I360" s="23" t="inlineStr"/>
      <c r="J360" s="40" t="inlineStr">
        <is>
          <t>🔥 Без сайту</t>
        </is>
      </c>
      <c r="K360" s="37" t="inlineStr">
        <is>
          <t>❌</t>
        </is>
      </c>
      <c r="L360" s="27" t="inlineStr">
        <is>
          <t>❌</t>
        </is>
      </c>
      <c r="M360" s="38" t="inlineStr">
        <is>
          <t>🟢 A</t>
        </is>
      </c>
      <c r="N360" s="21" t="inlineStr"/>
      <c r="O360" s="21" t="inlineStr"/>
      <c r="P360" s="23" t="inlineStr">
        <is>
          <t>—</t>
        </is>
      </c>
      <c r="Q360" s="23" t="inlineStr"/>
      <c r="R360" s="28" t="n"/>
      <c r="S360" s="23" t="inlineStr"/>
      <c r="T360" s="19" t="inlineStr">
        <is>
          <t>🟡 Новий</t>
        </is>
      </c>
      <c r="U360" s="21" t="inlineStr"/>
      <c r="V360" s="28" t="n"/>
      <c r="W360" s="21" t="inlineStr"/>
    </row>
    <row r="361" ht="20" customHeight="1">
      <c r="A361" s="9" t="n">
        <v>359</v>
      </c>
      <c r="B361" s="10" t="inlineStr">
        <is>
          <t>Надія</t>
        </is>
      </c>
      <c r="C361" s="10" t="inlineStr">
        <is>
          <t>вул. вулиця Осипа Турянського, 3, Львів</t>
        </is>
      </c>
      <c r="D361" s="33" t="inlineStr">
        <is>
          <t>+380963848669</t>
        </is>
      </c>
      <c r="E361" s="11" t="inlineStr"/>
      <c r="F361" s="11" t="inlineStr"/>
      <c r="G361" s="13" t="inlineStr">
        <is>
          <t>📍</t>
        </is>
      </c>
      <c r="H361" s="11" t="inlineStr"/>
      <c r="I361" s="11" t="inlineStr"/>
      <c r="J361" s="40" t="inlineStr">
        <is>
          <t>🔥 Без сайту</t>
        </is>
      </c>
      <c r="K361" s="39" t="inlineStr">
        <is>
          <t>❌</t>
        </is>
      </c>
      <c r="L361" s="16" t="inlineStr">
        <is>
          <t>❌</t>
        </is>
      </c>
      <c r="M361" s="38" t="inlineStr">
        <is>
          <t>🟢 A</t>
        </is>
      </c>
      <c r="N361" s="10" t="inlineStr"/>
      <c r="O361" s="10" t="inlineStr"/>
      <c r="P361" s="11" t="inlineStr">
        <is>
          <t>—</t>
        </is>
      </c>
      <c r="Q361" s="11" t="inlineStr"/>
      <c r="R361" s="18" t="n"/>
      <c r="S361" s="11" t="inlineStr"/>
      <c r="T361" s="19" t="inlineStr">
        <is>
          <t>🟡 Новий</t>
        </is>
      </c>
      <c r="U361" s="10" t="inlineStr"/>
      <c r="V361" s="18" t="n"/>
      <c r="W361" s="10" t="inlineStr"/>
    </row>
    <row r="362" ht="20" customHeight="1">
      <c r="A362" s="20" t="n">
        <v>360</v>
      </c>
      <c r="B362" s="21" t="inlineStr">
        <is>
          <t>Наполетана</t>
        </is>
      </c>
      <c r="C362" s="21" t="inlineStr">
        <is>
          <t>Львів</t>
        </is>
      </c>
      <c r="D362" s="23" t="inlineStr"/>
      <c r="E362" s="23" t="inlineStr"/>
      <c r="F362" s="23" t="inlineStr"/>
      <c r="G362" s="25" t="inlineStr">
        <is>
          <t>📍</t>
        </is>
      </c>
      <c r="H362" s="23" t="inlineStr"/>
      <c r="I362" s="23" t="inlineStr"/>
      <c r="J362" s="40" t="inlineStr">
        <is>
          <t>🔥 Без сайту</t>
        </is>
      </c>
      <c r="K362" s="37" t="inlineStr">
        <is>
          <t>❌</t>
        </is>
      </c>
      <c r="L362" s="27" t="inlineStr">
        <is>
          <t>❌</t>
        </is>
      </c>
      <c r="M362" s="38" t="inlineStr">
        <is>
          <t>🟢 A</t>
        </is>
      </c>
      <c r="N362" s="21" t="inlineStr"/>
      <c r="O362" s="21" t="inlineStr"/>
      <c r="P362" s="23" t="inlineStr">
        <is>
          <t>—</t>
        </is>
      </c>
      <c r="Q362" s="23" t="inlineStr"/>
      <c r="R362" s="28" t="n"/>
      <c r="S362" s="23" t="inlineStr"/>
      <c r="T362" s="19" t="inlineStr">
        <is>
          <t>🟡 Новий</t>
        </is>
      </c>
      <c r="U362" s="21" t="inlineStr"/>
      <c r="V362" s="28" t="n"/>
      <c r="W362" s="21" t="inlineStr"/>
    </row>
    <row r="363" ht="20" customHeight="1">
      <c r="A363" s="9" t="n">
        <v>361</v>
      </c>
      <c r="B363" s="10" t="inlineStr">
        <is>
          <t>Наш харч</t>
        </is>
      </c>
      <c r="C363" s="10" t="inlineStr">
        <is>
          <t>Львів</t>
        </is>
      </c>
      <c r="D363" s="11" t="inlineStr"/>
      <c r="E363" s="11" t="inlineStr"/>
      <c r="F363" s="11" t="inlineStr"/>
      <c r="G363" s="13" t="inlineStr">
        <is>
          <t>📍</t>
        </is>
      </c>
      <c r="H363" s="11" t="inlineStr"/>
      <c r="I363" s="11" t="inlineStr"/>
      <c r="J363" s="40" t="inlineStr">
        <is>
          <t>🔥 Без сайту</t>
        </is>
      </c>
      <c r="K363" s="39" t="inlineStr">
        <is>
          <t>❌</t>
        </is>
      </c>
      <c r="L363" s="16" t="inlineStr">
        <is>
          <t>❌</t>
        </is>
      </c>
      <c r="M363" s="38" t="inlineStr">
        <is>
          <t>🟢 A</t>
        </is>
      </c>
      <c r="N363" s="10" t="inlineStr"/>
      <c r="O363" s="10" t="inlineStr"/>
      <c r="P363" s="11" t="inlineStr">
        <is>
          <t>—</t>
        </is>
      </c>
      <c r="Q363" s="11" t="inlineStr"/>
      <c r="R363" s="18" t="n"/>
      <c r="S363" s="11" t="inlineStr"/>
      <c r="T363" s="19" t="inlineStr">
        <is>
          <t>🟡 Новий</t>
        </is>
      </c>
      <c r="U363" s="10" t="inlineStr"/>
      <c r="V363" s="18" t="n"/>
      <c r="W363" s="10" t="inlineStr"/>
    </row>
    <row r="364" ht="20" customHeight="1">
      <c r="A364" s="20" t="n">
        <v>362</v>
      </c>
      <c r="B364" s="21" t="inlineStr">
        <is>
          <t>Нептун</t>
        </is>
      </c>
      <c r="C364" s="21" t="inlineStr">
        <is>
          <t>Львів</t>
        </is>
      </c>
      <c r="D364" s="23" t="inlineStr"/>
      <c r="E364" s="23" t="inlineStr"/>
      <c r="F364" s="23" t="inlineStr"/>
      <c r="G364" s="25" t="inlineStr">
        <is>
          <t>📍</t>
        </is>
      </c>
      <c r="H364" s="23" t="inlineStr"/>
      <c r="I364" s="23" t="inlineStr"/>
      <c r="J364" s="40" t="inlineStr">
        <is>
          <t>🔥 Без сайту</t>
        </is>
      </c>
      <c r="K364" s="37" t="inlineStr">
        <is>
          <t>❌</t>
        </is>
      </c>
      <c r="L364" s="27" t="inlineStr">
        <is>
          <t>❌</t>
        </is>
      </c>
      <c r="M364" s="38" t="inlineStr">
        <is>
          <t>🟢 A</t>
        </is>
      </c>
      <c r="N364" s="21" t="inlineStr"/>
      <c r="O364" s="21" t="inlineStr"/>
      <c r="P364" s="23" t="inlineStr">
        <is>
          <t>—</t>
        </is>
      </c>
      <c r="Q364" s="23" t="inlineStr"/>
      <c r="R364" s="28" t="n"/>
      <c r="S364" s="23" t="inlineStr"/>
      <c r="T364" s="19" t="inlineStr">
        <is>
          <t>🟡 Новий</t>
        </is>
      </c>
      <c r="U364" s="21" t="inlineStr"/>
      <c r="V364" s="28" t="n"/>
      <c r="W364" s="21" t="inlineStr"/>
    </row>
    <row r="365" ht="20" customHeight="1">
      <c r="A365" s="9" t="n">
        <v>363</v>
      </c>
      <c r="B365" s="10" t="inlineStr">
        <is>
          <t>Нове</t>
        </is>
      </c>
      <c r="C365" s="10" t="inlineStr">
        <is>
          <t>Львів</t>
        </is>
      </c>
      <c r="D365" s="11" t="inlineStr"/>
      <c r="E365" s="11" t="inlineStr"/>
      <c r="F365" s="11" t="inlineStr"/>
      <c r="G365" s="13" t="inlineStr">
        <is>
          <t>📍</t>
        </is>
      </c>
      <c r="H365" s="11" t="inlineStr"/>
      <c r="I365" s="11" t="inlineStr"/>
      <c r="J365" s="40" t="inlineStr">
        <is>
          <t>🔥 Без сайту</t>
        </is>
      </c>
      <c r="K365" s="39" t="inlineStr">
        <is>
          <t>❌</t>
        </is>
      </c>
      <c r="L365" s="16" t="inlineStr">
        <is>
          <t>❌</t>
        </is>
      </c>
      <c r="M365" s="38" t="inlineStr">
        <is>
          <t>🟢 A</t>
        </is>
      </c>
      <c r="N365" s="10" t="inlineStr"/>
      <c r="O365" s="10" t="inlineStr"/>
      <c r="P365" s="11" t="inlineStr">
        <is>
          <t>—</t>
        </is>
      </c>
      <c r="Q365" s="11" t="inlineStr"/>
      <c r="R365" s="18" t="n"/>
      <c r="S365" s="11" t="inlineStr"/>
      <c r="T365" s="19" t="inlineStr">
        <is>
          <t>🟡 Новий</t>
        </is>
      </c>
      <c r="U365" s="10" t="inlineStr"/>
      <c r="V365" s="18" t="n"/>
      <c r="W365" s="10" t="inlineStr"/>
    </row>
    <row r="366" ht="20" customHeight="1">
      <c r="A366" s="20" t="n">
        <v>364</v>
      </c>
      <c r="B366" s="21" t="inlineStr">
        <is>
          <t>Ностальгія</t>
        </is>
      </c>
      <c r="C366" s="21" t="inlineStr">
        <is>
          <t>Львів</t>
        </is>
      </c>
      <c r="D366" s="23" t="inlineStr"/>
      <c r="E366" s="23" t="inlineStr"/>
      <c r="F366" s="23" t="inlineStr"/>
      <c r="G366" s="25" t="inlineStr">
        <is>
          <t>📍</t>
        </is>
      </c>
      <c r="H366" s="23" t="inlineStr"/>
      <c r="I366" s="23" t="inlineStr"/>
      <c r="J366" s="40" t="inlineStr">
        <is>
          <t>🔥 Без сайту</t>
        </is>
      </c>
      <c r="K366" s="37" t="inlineStr">
        <is>
          <t>❌</t>
        </is>
      </c>
      <c r="L366" s="27" t="inlineStr">
        <is>
          <t>❌</t>
        </is>
      </c>
      <c r="M366" s="38" t="inlineStr">
        <is>
          <t>🟢 A</t>
        </is>
      </c>
      <c r="N366" s="21" t="inlineStr"/>
      <c r="O366" s="21" t="inlineStr"/>
      <c r="P366" s="23" t="inlineStr">
        <is>
          <t>—</t>
        </is>
      </c>
      <c r="Q366" s="23" t="inlineStr"/>
      <c r="R366" s="28" t="n"/>
      <c r="S366" s="23" t="inlineStr"/>
      <c r="T366" s="19" t="inlineStr">
        <is>
          <t>🟡 Новий</t>
        </is>
      </c>
      <c r="U366" s="21" t="inlineStr"/>
      <c r="V366" s="28" t="n"/>
      <c r="W366" s="21" t="inlineStr"/>
    </row>
    <row r="367" ht="20" customHeight="1">
      <c r="A367" s="9" t="n">
        <v>365</v>
      </c>
      <c r="B367" s="10" t="inlineStr">
        <is>
          <t>Ніно</t>
        </is>
      </c>
      <c r="C367" s="10" t="inlineStr">
        <is>
          <t>Львів</t>
        </is>
      </c>
      <c r="D367" s="11" t="inlineStr"/>
      <c r="E367" s="11" t="inlineStr"/>
      <c r="F367" s="11" t="inlineStr"/>
      <c r="G367" s="13" t="inlineStr">
        <is>
          <t>📍</t>
        </is>
      </c>
      <c r="H367" s="11" t="inlineStr"/>
      <c r="I367" s="11" t="inlineStr"/>
      <c r="J367" s="40" t="inlineStr">
        <is>
          <t>🔥 Без сайту</t>
        </is>
      </c>
      <c r="K367" s="39" t="inlineStr">
        <is>
          <t>❌</t>
        </is>
      </c>
      <c r="L367" s="16" t="inlineStr">
        <is>
          <t>❌</t>
        </is>
      </c>
      <c r="M367" s="38" t="inlineStr">
        <is>
          <t>🟢 A</t>
        </is>
      </c>
      <c r="N367" s="10" t="inlineStr"/>
      <c r="O367" s="10" t="inlineStr"/>
      <c r="P367" s="11" t="inlineStr">
        <is>
          <t>—</t>
        </is>
      </c>
      <c r="Q367" s="11" t="inlineStr"/>
      <c r="R367" s="18" t="n"/>
      <c r="S367" s="11" t="inlineStr"/>
      <c r="T367" s="19" t="inlineStr">
        <is>
          <t>🟡 Новий</t>
        </is>
      </c>
      <c r="U367" s="10" t="inlineStr"/>
      <c r="V367" s="18" t="n"/>
      <c r="W367" s="10" t="inlineStr"/>
    </row>
    <row r="368" ht="20" customHeight="1">
      <c r="A368" s="20" t="n">
        <v>366</v>
      </c>
      <c r="B368" s="21" t="inlineStr">
        <is>
          <t>Оксана</t>
        </is>
      </c>
      <c r="C368" s="21" t="inlineStr">
        <is>
          <t>Львів</t>
        </is>
      </c>
      <c r="D368" s="23" t="inlineStr"/>
      <c r="E368" s="23" t="inlineStr"/>
      <c r="F368" s="23" t="inlineStr"/>
      <c r="G368" s="25" t="inlineStr">
        <is>
          <t>📍</t>
        </is>
      </c>
      <c r="H368" s="23" t="inlineStr"/>
      <c r="I368" s="23" t="inlineStr"/>
      <c r="J368" s="40" t="inlineStr">
        <is>
          <t>🔥 Без сайту</t>
        </is>
      </c>
      <c r="K368" s="37" t="inlineStr">
        <is>
          <t>❌</t>
        </is>
      </c>
      <c r="L368" s="27" t="inlineStr">
        <is>
          <t>❌</t>
        </is>
      </c>
      <c r="M368" s="38" t="inlineStr">
        <is>
          <t>🟢 A</t>
        </is>
      </c>
      <c r="N368" s="21" t="inlineStr"/>
      <c r="O368" s="21" t="inlineStr"/>
      <c r="P368" s="23" t="inlineStr">
        <is>
          <t>—</t>
        </is>
      </c>
      <c r="Q368" s="23" t="inlineStr"/>
      <c r="R368" s="28" t="n"/>
      <c r="S368" s="23" t="inlineStr"/>
      <c r="T368" s="19" t="inlineStr">
        <is>
          <t>🟡 Новий</t>
        </is>
      </c>
      <c r="U368" s="21" t="inlineStr"/>
      <c r="V368" s="28" t="n"/>
      <c r="W368" s="21" t="inlineStr"/>
    </row>
    <row r="369" ht="20" customHeight="1">
      <c r="A369" s="9" t="n">
        <v>367</v>
      </c>
      <c r="B369" s="10" t="inlineStr">
        <is>
          <t>П'яний мед</t>
        </is>
      </c>
      <c r="C369" s="10" t="inlineStr">
        <is>
          <t>Львів</t>
        </is>
      </c>
      <c r="D369" s="11" t="inlineStr"/>
      <c r="E369" s="11" t="inlineStr"/>
      <c r="F369" s="11" t="inlineStr"/>
      <c r="G369" s="13" t="inlineStr">
        <is>
          <t>📍</t>
        </is>
      </c>
      <c r="H369" s="11" t="inlineStr"/>
      <c r="I369" s="11" t="inlineStr"/>
      <c r="J369" s="40" t="inlineStr">
        <is>
          <t>🔥 Без сайту</t>
        </is>
      </c>
      <c r="K369" s="39" t="inlineStr">
        <is>
          <t>❌</t>
        </is>
      </c>
      <c r="L369" s="16" t="inlineStr">
        <is>
          <t>❌</t>
        </is>
      </c>
      <c r="M369" s="38" t="inlineStr">
        <is>
          <t>🟢 A</t>
        </is>
      </c>
      <c r="N369" s="10" t="inlineStr"/>
      <c r="O369" s="10" t="inlineStr"/>
      <c r="P369" s="11" t="inlineStr">
        <is>
          <t>—</t>
        </is>
      </c>
      <c r="Q369" s="11" t="inlineStr"/>
      <c r="R369" s="18" t="n"/>
      <c r="S369" s="11" t="inlineStr"/>
      <c r="T369" s="19" t="inlineStr">
        <is>
          <t>🟡 Новий</t>
        </is>
      </c>
      <c r="U369" s="10" t="inlineStr"/>
      <c r="V369" s="18" t="n"/>
      <c r="W369" s="10" t="inlineStr"/>
    </row>
    <row r="370" ht="20" customHeight="1">
      <c r="A370" s="20" t="n">
        <v>368</v>
      </c>
      <c r="B370" s="21" t="inlineStr">
        <is>
          <t>ПК</t>
        </is>
      </c>
      <c r="C370" s="21" t="inlineStr">
        <is>
          <t>Львів</t>
        </is>
      </c>
      <c r="D370" s="23" t="inlineStr"/>
      <c r="E370" s="23" t="inlineStr"/>
      <c r="F370" s="23" t="inlineStr"/>
      <c r="G370" s="25" t="inlineStr">
        <is>
          <t>📍</t>
        </is>
      </c>
      <c r="H370" s="23" t="inlineStr"/>
      <c r="I370" s="23" t="inlineStr"/>
      <c r="J370" s="40" t="inlineStr">
        <is>
          <t>🔥 Без сайту</t>
        </is>
      </c>
      <c r="K370" s="37" t="inlineStr">
        <is>
          <t>❌</t>
        </is>
      </c>
      <c r="L370" s="27" t="inlineStr">
        <is>
          <t>❌</t>
        </is>
      </c>
      <c r="M370" s="38" t="inlineStr">
        <is>
          <t>🟢 A</t>
        </is>
      </c>
      <c r="N370" s="21" t="inlineStr"/>
      <c r="O370" s="21" t="inlineStr"/>
      <c r="P370" s="23" t="inlineStr">
        <is>
          <t>—</t>
        </is>
      </c>
      <c r="Q370" s="23" t="inlineStr"/>
      <c r="R370" s="28" t="n"/>
      <c r="S370" s="23" t="inlineStr"/>
      <c r="T370" s="19" t="inlineStr">
        <is>
          <t>🟡 Новий</t>
        </is>
      </c>
      <c r="U370" s="21" t="inlineStr"/>
      <c r="V370" s="28" t="n"/>
      <c r="W370" s="21" t="inlineStr"/>
    </row>
    <row r="371" ht="20" customHeight="1">
      <c r="A371" s="9" t="n">
        <v>369</v>
      </c>
      <c r="B371" s="10" t="inlineStr">
        <is>
          <t>Палярня Чехович</t>
        </is>
      </c>
      <c r="C371" s="10" t="inlineStr">
        <is>
          <t>Львів</t>
        </is>
      </c>
      <c r="D371" s="11" t="inlineStr"/>
      <c r="E371" s="11" t="inlineStr"/>
      <c r="F371" s="11" t="inlineStr"/>
      <c r="G371" s="13" t="inlineStr">
        <is>
          <t>📍</t>
        </is>
      </c>
      <c r="H371" s="11" t="inlineStr"/>
      <c r="I371" s="11" t="inlineStr"/>
      <c r="J371" s="40" t="inlineStr">
        <is>
          <t>🔥 Без сайту</t>
        </is>
      </c>
      <c r="K371" s="39" t="inlineStr">
        <is>
          <t>❌</t>
        </is>
      </c>
      <c r="L371" s="16" t="inlineStr">
        <is>
          <t>❌</t>
        </is>
      </c>
      <c r="M371" s="38" t="inlineStr">
        <is>
          <t>🟢 A</t>
        </is>
      </c>
      <c r="N371" s="10" t="inlineStr"/>
      <c r="O371" s="10" t="inlineStr"/>
      <c r="P371" s="11" t="inlineStr">
        <is>
          <t>—</t>
        </is>
      </c>
      <c r="Q371" s="11" t="inlineStr"/>
      <c r="R371" s="18" t="n"/>
      <c r="S371" s="11" t="inlineStr"/>
      <c r="T371" s="19" t="inlineStr">
        <is>
          <t>🟡 Новий</t>
        </is>
      </c>
      <c r="U371" s="10" t="inlineStr"/>
      <c r="V371" s="18" t="n"/>
      <c r="W371" s="10" t="inlineStr"/>
    </row>
    <row r="372" ht="20" customHeight="1">
      <c r="A372" s="20" t="n">
        <v>370</v>
      </c>
      <c r="B372" s="21" t="inlineStr">
        <is>
          <t>Пекар</t>
        </is>
      </c>
      <c r="C372" s="21" t="inlineStr">
        <is>
          <t>Львів</t>
        </is>
      </c>
      <c r="D372" s="23" t="inlineStr"/>
      <c r="E372" s="23" t="inlineStr"/>
      <c r="F372" s="23" t="inlineStr"/>
      <c r="G372" s="25" t="inlineStr">
        <is>
          <t>📍</t>
        </is>
      </c>
      <c r="H372" s="23" t="inlineStr"/>
      <c r="I372" s="23" t="inlineStr"/>
      <c r="J372" s="40" t="inlineStr">
        <is>
          <t>🔥 Без сайту</t>
        </is>
      </c>
      <c r="K372" s="37" t="inlineStr">
        <is>
          <t>❌</t>
        </is>
      </c>
      <c r="L372" s="27" t="inlineStr">
        <is>
          <t>❌</t>
        </is>
      </c>
      <c r="M372" s="38" t="inlineStr">
        <is>
          <t>🟢 A</t>
        </is>
      </c>
      <c r="N372" s="21" t="inlineStr"/>
      <c r="O372" s="21" t="inlineStr"/>
      <c r="P372" s="23" t="inlineStr">
        <is>
          <t>—</t>
        </is>
      </c>
      <c r="Q372" s="23" t="inlineStr"/>
      <c r="R372" s="28" t="n"/>
      <c r="S372" s="23" t="inlineStr"/>
      <c r="T372" s="19" t="inlineStr">
        <is>
          <t>🟡 Новий</t>
        </is>
      </c>
      <c r="U372" s="21" t="inlineStr"/>
      <c r="V372" s="28" t="n"/>
      <c r="W372" s="21" t="inlineStr"/>
    </row>
    <row r="373" ht="20" customHeight="1">
      <c r="A373" s="9" t="n">
        <v>371</v>
      </c>
      <c r="B373" s="10" t="inlineStr">
        <is>
          <t>Перекус і добра кава</t>
        </is>
      </c>
      <c r="C373" s="10" t="inlineStr">
        <is>
          <t>Львів</t>
        </is>
      </c>
      <c r="D373" s="11" t="inlineStr"/>
      <c r="E373" s="11" t="inlineStr"/>
      <c r="F373" s="11" t="inlineStr"/>
      <c r="G373" s="13" t="inlineStr">
        <is>
          <t>📍</t>
        </is>
      </c>
      <c r="H373" s="11" t="inlineStr"/>
      <c r="I373" s="11" t="inlineStr"/>
      <c r="J373" s="40" t="inlineStr">
        <is>
          <t>🔥 Без сайту</t>
        </is>
      </c>
      <c r="K373" s="39" t="inlineStr">
        <is>
          <t>❌</t>
        </is>
      </c>
      <c r="L373" s="16" t="inlineStr">
        <is>
          <t>❌</t>
        </is>
      </c>
      <c r="M373" s="38" t="inlineStr">
        <is>
          <t>🟢 A</t>
        </is>
      </c>
      <c r="N373" s="10" t="inlineStr"/>
      <c r="O373" s="10" t="inlineStr"/>
      <c r="P373" s="11" t="inlineStr">
        <is>
          <t>—</t>
        </is>
      </c>
      <c r="Q373" s="11" t="inlineStr"/>
      <c r="R373" s="18" t="n"/>
      <c r="S373" s="11" t="inlineStr"/>
      <c r="T373" s="19" t="inlineStr">
        <is>
          <t>🟡 Новий</t>
        </is>
      </c>
      <c r="U373" s="10" t="inlineStr"/>
      <c r="V373" s="18" t="n"/>
      <c r="W373" s="10" t="inlineStr"/>
    </row>
    <row r="374" ht="20" customHeight="1">
      <c r="A374" s="20" t="n">
        <v>372</v>
      </c>
      <c r="B374" s="21" t="inlineStr">
        <is>
          <t>Перлина парку</t>
        </is>
      </c>
      <c r="C374" s="21" t="inlineStr">
        <is>
          <t>Львів</t>
        </is>
      </c>
      <c r="D374" s="23" t="inlineStr"/>
      <c r="E374" s="23" t="inlineStr"/>
      <c r="F374" s="23" t="inlineStr"/>
      <c r="G374" s="25" t="inlineStr">
        <is>
          <t>📍</t>
        </is>
      </c>
      <c r="H374" s="23" t="inlineStr"/>
      <c r="I374" s="23" t="inlineStr"/>
      <c r="J374" s="40" t="inlineStr">
        <is>
          <t>🔥 Без сайту</t>
        </is>
      </c>
      <c r="K374" s="37" t="inlineStr">
        <is>
          <t>❌</t>
        </is>
      </c>
      <c r="L374" s="27" t="inlineStr">
        <is>
          <t>❌</t>
        </is>
      </c>
      <c r="M374" s="38" t="inlineStr">
        <is>
          <t>🟢 A</t>
        </is>
      </c>
      <c r="N374" s="21" t="inlineStr"/>
      <c r="O374" s="21" t="inlineStr"/>
      <c r="P374" s="23" t="inlineStr">
        <is>
          <t>—</t>
        </is>
      </c>
      <c r="Q374" s="23" t="inlineStr"/>
      <c r="R374" s="28" t="n"/>
      <c r="S374" s="23" t="inlineStr"/>
      <c r="T374" s="19" t="inlineStr">
        <is>
          <t>🟡 Новий</t>
        </is>
      </c>
      <c r="U374" s="21" t="inlineStr"/>
      <c r="V374" s="28" t="n"/>
      <c r="W374" s="21" t="inlineStr"/>
    </row>
    <row r="375" ht="20" customHeight="1">
      <c r="A375" s="9" t="n">
        <v>373</v>
      </c>
      <c r="B375" s="10" t="inlineStr">
        <is>
          <t>Перший</t>
        </is>
      </c>
      <c r="C375" s="10" t="inlineStr">
        <is>
          <t>Львів</t>
        </is>
      </c>
      <c r="D375" s="11" t="inlineStr"/>
      <c r="E375" s="11" t="inlineStr"/>
      <c r="F375" s="11" t="inlineStr"/>
      <c r="G375" s="13" t="inlineStr">
        <is>
          <t>📍</t>
        </is>
      </c>
      <c r="H375" s="11" t="inlineStr"/>
      <c r="I375" s="11" t="inlineStr"/>
      <c r="J375" s="40" t="inlineStr">
        <is>
          <t>🔥 Без сайту</t>
        </is>
      </c>
      <c r="K375" s="39" t="inlineStr">
        <is>
          <t>❌</t>
        </is>
      </c>
      <c r="L375" s="16" t="inlineStr">
        <is>
          <t>❌</t>
        </is>
      </c>
      <c r="M375" s="38" t="inlineStr">
        <is>
          <t>🟢 A</t>
        </is>
      </c>
      <c r="N375" s="10" t="inlineStr"/>
      <c r="O375" s="10" t="inlineStr"/>
      <c r="P375" s="11" t="inlineStr">
        <is>
          <t>—</t>
        </is>
      </c>
      <c r="Q375" s="11" t="inlineStr"/>
      <c r="R375" s="18" t="n"/>
      <c r="S375" s="11" t="inlineStr"/>
      <c r="T375" s="19" t="inlineStr">
        <is>
          <t>🟡 Новий</t>
        </is>
      </c>
      <c r="U375" s="10" t="inlineStr"/>
      <c r="V375" s="18" t="n"/>
      <c r="W375" s="10" t="inlineStr"/>
    </row>
    <row r="376" ht="20" customHeight="1">
      <c r="A376" s="20" t="n">
        <v>374</v>
      </c>
      <c r="B376" s="21" t="inlineStr">
        <is>
          <t>Пиріжкова</t>
        </is>
      </c>
      <c r="C376" s="21" t="inlineStr">
        <is>
          <t>Львів</t>
        </is>
      </c>
      <c r="D376" s="23" t="inlineStr"/>
      <c r="E376" s="23" t="inlineStr"/>
      <c r="F376" s="23" t="inlineStr"/>
      <c r="G376" s="25" t="inlineStr">
        <is>
          <t>📍</t>
        </is>
      </c>
      <c r="H376" s="23" t="inlineStr"/>
      <c r="I376" s="23" t="inlineStr"/>
      <c r="J376" s="40" t="inlineStr">
        <is>
          <t>🔥 Без сайту</t>
        </is>
      </c>
      <c r="K376" s="37" t="inlineStr">
        <is>
          <t>❌</t>
        </is>
      </c>
      <c r="L376" s="27" t="inlineStr">
        <is>
          <t>❌</t>
        </is>
      </c>
      <c r="M376" s="38" t="inlineStr">
        <is>
          <t>🟢 A</t>
        </is>
      </c>
      <c r="N376" s="21" t="inlineStr"/>
      <c r="O376" s="21" t="inlineStr"/>
      <c r="P376" s="23" t="inlineStr">
        <is>
          <t>—</t>
        </is>
      </c>
      <c r="Q376" s="23" t="inlineStr"/>
      <c r="R376" s="28" t="n"/>
      <c r="S376" s="23" t="inlineStr"/>
      <c r="T376" s="19" t="inlineStr">
        <is>
          <t>🟡 Новий</t>
        </is>
      </c>
      <c r="U376" s="21" t="inlineStr"/>
      <c r="V376" s="28" t="n"/>
      <c r="W376" s="21" t="inlineStr"/>
    </row>
    <row r="377" ht="20" customHeight="1">
      <c r="A377" s="9" t="n">
        <v>375</v>
      </c>
      <c r="B377" s="10" t="inlineStr">
        <is>
          <t>Пиріжкова "Леся"</t>
        </is>
      </c>
      <c r="C377" s="10" t="inlineStr">
        <is>
          <t>Львів</t>
        </is>
      </c>
      <c r="D377" s="11" t="inlineStr"/>
      <c r="E377" s="11" t="inlineStr"/>
      <c r="F377" s="11" t="inlineStr"/>
      <c r="G377" s="13" t="inlineStr">
        <is>
          <t>📍</t>
        </is>
      </c>
      <c r="H377" s="11" t="inlineStr"/>
      <c r="I377" s="11" t="inlineStr"/>
      <c r="J377" s="40" t="inlineStr">
        <is>
          <t>🔥 Без сайту</t>
        </is>
      </c>
      <c r="K377" s="39" t="inlineStr">
        <is>
          <t>❌</t>
        </is>
      </c>
      <c r="L377" s="16" t="inlineStr">
        <is>
          <t>❌</t>
        </is>
      </c>
      <c r="M377" s="38" t="inlineStr">
        <is>
          <t>🟢 A</t>
        </is>
      </c>
      <c r="N377" s="10" t="inlineStr"/>
      <c r="O377" s="10" t="inlineStr"/>
      <c r="P377" s="11" t="inlineStr">
        <is>
          <t>—</t>
        </is>
      </c>
      <c r="Q377" s="11" t="inlineStr"/>
      <c r="R377" s="18" t="n"/>
      <c r="S377" s="11" t="inlineStr"/>
      <c r="T377" s="19" t="inlineStr">
        <is>
          <t>🟡 Новий</t>
        </is>
      </c>
      <c r="U377" s="10" t="inlineStr"/>
      <c r="V377" s="18" t="n"/>
      <c r="W377" s="10" t="inlineStr"/>
    </row>
    <row r="378" ht="20" customHeight="1">
      <c r="A378" s="20" t="n">
        <v>376</v>
      </c>
      <c r="B378" s="21" t="inlineStr">
        <is>
          <t>Пиріжкова хата</t>
        </is>
      </c>
      <c r="C378" s="21" t="inlineStr">
        <is>
          <t>Львів</t>
        </is>
      </c>
      <c r="D378" s="23" t="inlineStr"/>
      <c r="E378" s="23" t="inlineStr"/>
      <c r="F378" s="23" t="inlineStr"/>
      <c r="G378" s="25" t="inlineStr">
        <is>
          <t>📍</t>
        </is>
      </c>
      <c r="H378" s="23" t="inlineStr"/>
      <c r="I378" s="23" t="inlineStr"/>
      <c r="J378" s="40" t="inlineStr">
        <is>
          <t>🔥 Без сайту</t>
        </is>
      </c>
      <c r="K378" s="37" t="inlineStr">
        <is>
          <t>❌</t>
        </is>
      </c>
      <c r="L378" s="27" t="inlineStr">
        <is>
          <t>❌</t>
        </is>
      </c>
      <c r="M378" s="38" t="inlineStr">
        <is>
          <t>🟢 A</t>
        </is>
      </c>
      <c r="N378" s="21" t="inlineStr"/>
      <c r="O378" s="21" t="inlineStr"/>
      <c r="P378" s="23" t="inlineStr">
        <is>
          <t>—</t>
        </is>
      </c>
      <c r="Q378" s="23" t="inlineStr"/>
      <c r="R378" s="28" t="n"/>
      <c r="S378" s="23" t="inlineStr"/>
      <c r="T378" s="19" t="inlineStr">
        <is>
          <t>🟡 Новий</t>
        </is>
      </c>
      <c r="U378" s="21" t="inlineStr"/>
      <c r="V378" s="28" t="n"/>
      <c r="W378" s="21" t="inlineStr"/>
    </row>
    <row r="379" ht="20" customHeight="1">
      <c r="A379" s="9" t="n">
        <v>377</v>
      </c>
      <c r="B379" s="10" t="inlineStr">
        <is>
          <t>Плюс</t>
        </is>
      </c>
      <c r="C379" s="10" t="inlineStr">
        <is>
          <t>Львів</t>
        </is>
      </c>
      <c r="D379" s="11" t="inlineStr"/>
      <c r="E379" s="11" t="inlineStr"/>
      <c r="F379" s="11" t="inlineStr"/>
      <c r="G379" s="13" t="inlineStr">
        <is>
          <t>📍</t>
        </is>
      </c>
      <c r="H379" s="11" t="inlineStr"/>
      <c r="I379" s="11" t="inlineStr"/>
      <c r="J379" s="40" t="inlineStr">
        <is>
          <t>🔥 Без сайту</t>
        </is>
      </c>
      <c r="K379" s="39" t="inlineStr">
        <is>
          <t>❌</t>
        </is>
      </c>
      <c r="L379" s="16" t="inlineStr">
        <is>
          <t>❌</t>
        </is>
      </c>
      <c r="M379" s="38" t="inlineStr">
        <is>
          <t>🟢 A</t>
        </is>
      </c>
      <c r="N379" s="10" t="inlineStr"/>
      <c r="O379" s="10" t="inlineStr"/>
      <c r="P379" s="11" t="inlineStr">
        <is>
          <t>—</t>
        </is>
      </c>
      <c r="Q379" s="11" t="inlineStr"/>
      <c r="R379" s="18" t="n"/>
      <c r="S379" s="11" t="inlineStr"/>
      <c r="T379" s="19" t="inlineStr">
        <is>
          <t>🟡 Новий</t>
        </is>
      </c>
      <c r="U379" s="10" t="inlineStr"/>
      <c r="V379" s="18" t="n"/>
      <c r="W379" s="10" t="inlineStr"/>
    </row>
    <row r="380" ht="20" customHeight="1">
      <c r="A380" s="20" t="n">
        <v>378</v>
      </c>
      <c r="B380" s="21" t="inlineStr">
        <is>
          <t>Повна Тареля</t>
        </is>
      </c>
      <c r="C380" s="21" t="inlineStr">
        <is>
          <t>Львів</t>
        </is>
      </c>
      <c r="D380" s="23" t="inlineStr"/>
      <c r="E380" s="23" t="inlineStr"/>
      <c r="F380" s="23" t="inlineStr"/>
      <c r="G380" s="25" t="inlineStr">
        <is>
          <t>📍</t>
        </is>
      </c>
      <c r="H380" s="23" t="inlineStr"/>
      <c r="I380" s="23" t="inlineStr"/>
      <c r="J380" s="40" t="inlineStr">
        <is>
          <t>🔥 Без сайту</t>
        </is>
      </c>
      <c r="K380" s="37" t="inlineStr">
        <is>
          <t>❌</t>
        </is>
      </c>
      <c r="L380" s="27" t="inlineStr">
        <is>
          <t>❌</t>
        </is>
      </c>
      <c r="M380" s="38" t="inlineStr">
        <is>
          <t>🟢 A</t>
        </is>
      </c>
      <c r="N380" s="21" t="inlineStr"/>
      <c r="O380" s="21" t="inlineStr"/>
      <c r="P380" s="23" t="inlineStr">
        <is>
          <t>—</t>
        </is>
      </c>
      <c r="Q380" s="23" t="inlineStr"/>
      <c r="R380" s="28" t="n"/>
      <c r="S380" s="23" t="inlineStr"/>
      <c r="T380" s="19" t="inlineStr">
        <is>
          <t>🟡 Новий</t>
        </is>
      </c>
      <c r="U380" s="21" t="inlineStr"/>
      <c r="V380" s="28" t="n"/>
      <c r="W380" s="21" t="inlineStr"/>
    </row>
    <row r="381" ht="20" customHeight="1">
      <c r="A381" s="9" t="n">
        <v>379</v>
      </c>
      <c r="B381" s="10" t="inlineStr">
        <is>
          <t>Порко Марко</t>
        </is>
      </c>
      <c r="C381" s="10" t="inlineStr">
        <is>
          <t>Львів</t>
        </is>
      </c>
      <c r="D381" s="11" t="inlineStr"/>
      <c r="E381" s="11" t="inlineStr"/>
      <c r="F381" s="11" t="inlineStr"/>
      <c r="G381" s="13" t="inlineStr">
        <is>
          <t>📍</t>
        </is>
      </c>
      <c r="H381" s="11" t="inlineStr"/>
      <c r="I381" s="11" t="inlineStr"/>
      <c r="J381" s="40" t="inlineStr">
        <is>
          <t>🔥 Без сайту</t>
        </is>
      </c>
      <c r="K381" s="39" t="inlineStr">
        <is>
          <t>❌</t>
        </is>
      </c>
      <c r="L381" s="16" t="inlineStr">
        <is>
          <t>❌</t>
        </is>
      </c>
      <c r="M381" s="38" t="inlineStr">
        <is>
          <t>🟢 A</t>
        </is>
      </c>
      <c r="N381" s="10" t="inlineStr"/>
      <c r="O381" s="10" t="inlineStr"/>
      <c r="P381" s="11" t="inlineStr">
        <is>
          <t>—</t>
        </is>
      </c>
      <c r="Q381" s="11" t="inlineStr"/>
      <c r="R381" s="18" t="n"/>
      <c r="S381" s="11" t="inlineStr"/>
      <c r="T381" s="19" t="inlineStr">
        <is>
          <t>🟡 Новий</t>
        </is>
      </c>
      <c r="U381" s="10" t="inlineStr"/>
      <c r="V381" s="18" t="n"/>
      <c r="W381" s="10" t="inlineStr"/>
    </row>
    <row r="382" ht="20" customHeight="1">
      <c r="A382" s="20" t="n">
        <v>380</v>
      </c>
      <c r="B382" s="21" t="inlineStr">
        <is>
          <t>Правдива кава</t>
        </is>
      </c>
      <c r="C382" s="21" t="inlineStr">
        <is>
          <t>Львів</t>
        </is>
      </c>
      <c r="D382" s="23" t="inlineStr"/>
      <c r="E382" s="23" t="inlineStr"/>
      <c r="F382" s="23" t="inlineStr"/>
      <c r="G382" s="25" t="inlineStr">
        <is>
          <t>📍</t>
        </is>
      </c>
      <c r="H382" s="23" t="inlineStr"/>
      <c r="I382" s="23" t="inlineStr"/>
      <c r="J382" s="40" t="inlineStr">
        <is>
          <t>🔥 Без сайту</t>
        </is>
      </c>
      <c r="K382" s="37" t="inlineStr">
        <is>
          <t>❌</t>
        </is>
      </c>
      <c r="L382" s="27" t="inlineStr">
        <is>
          <t>❌</t>
        </is>
      </c>
      <c r="M382" s="38" t="inlineStr">
        <is>
          <t>🟢 A</t>
        </is>
      </c>
      <c r="N382" s="21" t="inlineStr"/>
      <c r="O382" s="21" t="inlineStr"/>
      <c r="P382" s="23" t="inlineStr">
        <is>
          <t>—</t>
        </is>
      </c>
      <c r="Q382" s="23" t="inlineStr"/>
      <c r="R382" s="28" t="n"/>
      <c r="S382" s="23" t="inlineStr"/>
      <c r="T382" s="19" t="inlineStr">
        <is>
          <t>🟡 Новий</t>
        </is>
      </c>
      <c r="U382" s="21" t="inlineStr"/>
      <c r="V382" s="28" t="n"/>
      <c r="W382" s="21" t="inlineStr"/>
    </row>
    <row r="383" ht="20" customHeight="1">
      <c r="A383" s="9" t="n">
        <v>381</v>
      </c>
      <c r="B383" s="10" t="inlineStr">
        <is>
          <t>Про100кава</t>
        </is>
      </c>
      <c r="C383" s="10" t="inlineStr">
        <is>
          <t>Львів</t>
        </is>
      </c>
      <c r="D383" s="11" t="inlineStr"/>
      <c r="E383" s="11" t="inlineStr"/>
      <c r="F383" s="11" t="inlineStr"/>
      <c r="G383" s="13" t="inlineStr">
        <is>
          <t>📍</t>
        </is>
      </c>
      <c r="H383" s="11" t="inlineStr"/>
      <c r="I383" s="11" t="inlineStr"/>
      <c r="J383" s="40" t="inlineStr">
        <is>
          <t>🔥 Без сайту</t>
        </is>
      </c>
      <c r="K383" s="39" t="inlineStr">
        <is>
          <t>❌</t>
        </is>
      </c>
      <c r="L383" s="16" t="inlineStr">
        <is>
          <t>❌</t>
        </is>
      </c>
      <c r="M383" s="38" t="inlineStr">
        <is>
          <t>🟢 A</t>
        </is>
      </c>
      <c r="N383" s="10" t="inlineStr"/>
      <c r="O383" s="10" t="inlineStr"/>
      <c r="P383" s="11" t="inlineStr">
        <is>
          <t>—</t>
        </is>
      </c>
      <c r="Q383" s="11" t="inlineStr"/>
      <c r="R383" s="18" t="n"/>
      <c r="S383" s="11" t="inlineStr"/>
      <c r="T383" s="19" t="inlineStr">
        <is>
          <t>🟡 Новий</t>
        </is>
      </c>
      <c r="U383" s="10" t="inlineStr"/>
      <c r="V383" s="18" t="n"/>
      <c r="W383" s="10" t="inlineStr"/>
    </row>
    <row r="384" ht="20" customHeight="1">
      <c r="A384" s="20" t="n">
        <v>382</v>
      </c>
      <c r="B384" s="21" t="inlineStr">
        <is>
          <t>Простір</t>
        </is>
      </c>
      <c r="C384" s="21" t="inlineStr">
        <is>
          <t>Львів</t>
        </is>
      </c>
      <c r="D384" s="23" t="inlineStr"/>
      <c r="E384" s="23" t="inlineStr"/>
      <c r="F384" s="23" t="inlineStr"/>
      <c r="G384" s="25" t="inlineStr">
        <is>
          <t>📍</t>
        </is>
      </c>
      <c r="H384" s="23" t="inlineStr"/>
      <c r="I384" s="23" t="inlineStr"/>
      <c r="J384" s="40" t="inlineStr">
        <is>
          <t>🔥 Без сайту</t>
        </is>
      </c>
      <c r="K384" s="37" t="inlineStr">
        <is>
          <t>❌</t>
        </is>
      </c>
      <c r="L384" s="27" t="inlineStr">
        <is>
          <t>❌</t>
        </is>
      </c>
      <c r="M384" s="38" t="inlineStr">
        <is>
          <t>🟢 A</t>
        </is>
      </c>
      <c r="N384" s="21" t="inlineStr"/>
      <c r="O384" s="21" t="inlineStr"/>
      <c r="P384" s="23" t="inlineStr">
        <is>
          <t>—</t>
        </is>
      </c>
      <c r="Q384" s="23" t="inlineStr"/>
      <c r="R384" s="28" t="n"/>
      <c r="S384" s="23" t="inlineStr"/>
      <c r="T384" s="19" t="inlineStr">
        <is>
          <t>🟡 Новий</t>
        </is>
      </c>
      <c r="U384" s="21" t="inlineStr"/>
      <c r="V384" s="28" t="n"/>
      <c r="W384" s="21" t="inlineStr"/>
    </row>
    <row r="385" ht="20" customHeight="1">
      <c r="A385" s="9" t="n">
        <v>383</v>
      </c>
      <c r="B385" s="10" t="inlineStr">
        <is>
          <t>Під Дубом</t>
        </is>
      </c>
      <c r="C385" s="10" t="inlineStr">
        <is>
          <t>вул. вулиця Під Дубом, 17, Львів</t>
        </is>
      </c>
      <c r="D385" s="11" t="inlineStr"/>
      <c r="E385" s="11" t="inlineStr"/>
      <c r="F385" s="11" t="inlineStr"/>
      <c r="G385" s="13" t="inlineStr">
        <is>
          <t>📍</t>
        </is>
      </c>
      <c r="H385" s="11" t="inlineStr"/>
      <c r="I385" s="11" t="inlineStr"/>
      <c r="J385" s="40" t="inlineStr">
        <is>
          <t>🔥 Без сайту</t>
        </is>
      </c>
      <c r="K385" s="39" t="inlineStr">
        <is>
          <t>❌</t>
        </is>
      </c>
      <c r="L385" s="16" t="inlineStr">
        <is>
          <t>❌</t>
        </is>
      </c>
      <c r="M385" s="38" t="inlineStr">
        <is>
          <t>🟢 A</t>
        </is>
      </c>
      <c r="N385" s="10" t="inlineStr"/>
      <c r="O385" s="10" t="inlineStr"/>
      <c r="P385" s="11" t="inlineStr">
        <is>
          <t>—</t>
        </is>
      </c>
      <c r="Q385" s="11" t="inlineStr"/>
      <c r="R385" s="18" t="n"/>
      <c r="S385" s="11" t="inlineStr"/>
      <c r="T385" s="19" t="inlineStr">
        <is>
          <t>🟡 Новий</t>
        </is>
      </c>
      <c r="U385" s="10" t="inlineStr"/>
      <c r="V385" s="18" t="n"/>
      <c r="W385" s="10" t="inlineStr"/>
    </row>
    <row r="386" ht="20" customHeight="1">
      <c r="A386" s="20" t="n">
        <v>384</v>
      </c>
      <c r="B386" s="21" t="inlineStr">
        <is>
          <t>Під лісом</t>
        </is>
      </c>
      <c r="C386" s="21" t="inlineStr">
        <is>
          <t>Львів</t>
        </is>
      </c>
      <c r="D386" s="23" t="inlineStr"/>
      <c r="E386" s="23" t="inlineStr"/>
      <c r="F386" s="23" t="inlineStr"/>
      <c r="G386" s="25" t="inlineStr">
        <is>
          <t>📍</t>
        </is>
      </c>
      <c r="H386" s="23" t="inlineStr"/>
      <c r="I386" s="23" t="inlineStr"/>
      <c r="J386" s="40" t="inlineStr">
        <is>
          <t>🔥 Без сайту</t>
        </is>
      </c>
      <c r="K386" s="37" t="inlineStr">
        <is>
          <t>❌</t>
        </is>
      </c>
      <c r="L386" s="27" t="inlineStr">
        <is>
          <t>❌</t>
        </is>
      </c>
      <c r="M386" s="38" t="inlineStr">
        <is>
          <t>🟢 A</t>
        </is>
      </c>
      <c r="N386" s="21" t="inlineStr"/>
      <c r="O386" s="21" t="inlineStr"/>
      <c r="P386" s="23" t="inlineStr">
        <is>
          <t>—</t>
        </is>
      </c>
      <c r="Q386" s="23" t="inlineStr"/>
      <c r="R386" s="28" t="n"/>
      <c r="S386" s="23" t="inlineStr"/>
      <c r="T386" s="19" t="inlineStr">
        <is>
          <t>🟡 Новий</t>
        </is>
      </c>
      <c r="U386" s="21" t="inlineStr"/>
      <c r="V386" s="28" t="n"/>
      <c r="W386" s="21" t="inlineStr"/>
    </row>
    <row r="387" ht="20" customHeight="1">
      <c r="A387" s="9" t="n">
        <v>385</v>
      </c>
      <c r="B387" s="10" t="inlineStr">
        <is>
          <t>Підгори</t>
        </is>
      </c>
      <c r="C387" s="10" t="inlineStr">
        <is>
          <t>Львів</t>
        </is>
      </c>
      <c r="D387" s="11" t="inlineStr"/>
      <c r="E387" s="11" t="inlineStr"/>
      <c r="F387" s="11" t="inlineStr"/>
      <c r="G387" s="13" t="inlineStr">
        <is>
          <t>📍</t>
        </is>
      </c>
      <c r="H387" s="11" t="inlineStr"/>
      <c r="I387" s="11" t="inlineStr"/>
      <c r="J387" s="40" t="inlineStr">
        <is>
          <t>🔥 Без сайту</t>
        </is>
      </c>
      <c r="K387" s="39" t="inlineStr">
        <is>
          <t>❌</t>
        </is>
      </c>
      <c r="L387" s="16" t="inlineStr">
        <is>
          <t>❌</t>
        </is>
      </c>
      <c r="M387" s="38" t="inlineStr">
        <is>
          <t>🟢 A</t>
        </is>
      </c>
      <c r="N387" s="10" t="inlineStr"/>
      <c r="O387" s="10" t="inlineStr"/>
      <c r="P387" s="11" t="inlineStr">
        <is>
          <t>—</t>
        </is>
      </c>
      <c r="Q387" s="11" t="inlineStr"/>
      <c r="R387" s="18" t="n"/>
      <c r="S387" s="11" t="inlineStr"/>
      <c r="T387" s="19" t="inlineStr">
        <is>
          <t>🟡 Новий</t>
        </is>
      </c>
      <c r="U387" s="10" t="inlineStr"/>
      <c r="V387" s="18" t="n"/>
      <c r="W387" s="10" t="inlineStr"/>
    </row>
    <row r="388" ht="20" customHeight="1">
      <c r="A388" s="20" t="n">
        <v>386</v>
      </c>
      <c r="B388" s="21" t="inlineStr">
        <is>
          <t>Пінгвін</t>
        </is>
      </c>
      <c r="C388" s="21" t="inlineStr">
        <is>
          <t>Львів</t>
        </is>
      </c>
      <c r="D388" s="23" t="inlineStr"/>
      <c r="E388" s="23" t="inlineStr"/>
      <c r="F388" s="23" t="inlineStr"/>
      <c r="G388" s="25" t="inlineStr">
        <is>
          <t>📍</t>
        </is>
      </c>
      <c r="H388" s="23" t="inlineStr"/>
      <c r="I388" s="23" t="inlineStr"/>
      <c r="J388" s="40" t="inlineStr">
        <is>
          <t>🔥 Без сайту</t>
        </is>
      </c>
      <c r="K388" s="37" t="inlineStr">
        <is>
          <t>❌</t>
        </is>
      </c>
      <c r="L388" s="27" t="inlineStr">
        <is>
          <t>❌</t>
        </is>
      </c>
      <c r="M388" s="38" t="inlineStr">
        <is>
          <t>🟢 A</t>
        </is>
      </c>
      <c r="N388" s="21" t="inlineStr"/>
      <c r="O388" s="21" t="inlineStr"/>
      <c r="P388" s="23" t="inlineStr">
        <is>
          <t>—</t>
        </is>
      </c>
      <c r="Q388" s="23" t="inlineStr"/>
      <c r="R388" s="28" t="n"/>
      <c r="S388" s="23" t="inlineStr"/>
      <c r="T388" s="19" t="inlineStr">
        <is>
          <t>🟡 Новий</t>
        </is>
      </c>
      <c r="U388" s="21" t="inlineStr"/>
      <c r="V388" s="28" t="n"/>
      <c r="W388" s="21" t="inlineStr"/>
    </row>
    <row r="389" ht="20" customHeight="1">
      <c r="A389" s="9" t="n">
        <v>387</v>
      </c>
      <c r="B389" s="10" t="inlineStr">
        <is>
          <t>Піца Челентано Ресторан</t>
        </is>
      </c>
      <c r="C389" s="10" t="inlineStr">
        <is>
          <t>Львів</t>
        </is>
      </c>
      <c r="D389" s="11" t="inlineStr"/>
      <c r="E389" s="11" t="inlineStr"/>
      <c r="F389" s="11" t="inlineStr"/>
      <c r="G389" s="13" t="inlineStr">
        <is>
          <t>📍</t>
        </is>
      </c>
      <c r="H389" s="11" t="inlineStr"/>
      <c r="I389" s="11" t="inlineStr"/>
      <c r="J389" s="40" t="inlineStr">
        <is>
          <t>🔥 Без сайту</t>
        </is>
      </c>
      <c r="K389" s="39" t="inlineStr">
        <is>
          <t>❌</t>
        </is>
      </c>
      <c r="L389" s="16" t="inlineStr">
        <is>
          <t>❌</t>
        </is>
      </c>
      <c r="M389" s="38" t="inlineStr">
        <is>
          <t>🟢 A</t>
        </is>
      </c>
      <c r="N389" s="10" t="inlineStr"/>
      <c r="O389" s="10" t="inlineStr"/>
      <c r="P389" s="11" t="inlineStr">
        <is>
          <t>—</t>
        </is>
      </c>
      <c r="Q389" s="11" t="inlineStr"/>
      <c r="R389" s="18" t="n"/>
      <c r="S389" s="11" t="inlineStr"/>
      <c r="T389" s="19" t="inlineStr">
        <is>
          <t>🟡 Новий</t>
        </is>
      </c>
      <c r="U389" s="10" t="inlineStr"/>
      <c r="V389" s="18" t="n"/>
      <c r="W389" s="10" t="inlineStr"/>
    </row>
    <row r="390" ht="20" customHeight="1">
      <c r="A390" s="20" t="n">
        <v>388</v>
      </c>
      <c r="B390" s="21" t="inlineStr">
        <is>
          <t>Рандеву</t>
        </is>
      </c>
      <c r="C390" s="21" t="inlineStr">
        <is>
          <t>Львів</t>
        </is>
      </c>
      <c r="D390" s="23" t="inlineStr"/>
      <c r="E390" s="23" t="inlineStr"/>
      <c r="F390" s="23" t="inlineStr"/>
      <c r="G390" s="25" t="inlineStr">
        <is>
          <t>📍</t>
        </is>
      </c>
      <c r="H390" s="23" t="inlineStr"/>
      <c r="I390" s="23" t="inlineStr"/>
      <c r="J390" s="40" t="inlineStr">
        <is>
          <t>🔥 Без сайту</t>
        </is>
      </c>
      <c r="K390" s="37" t="inlineStr">
        <is>
          <t>❌</t>
        </is>
      </c>
      <c r="L390" s="27" t="inlineStr">
        <is>
          <t>❌</t>
        </is>
      </c>
      <c r="M390" s="38" t="inlineStr">
        <is>
          <t>🟢 A</t>
        </is>
      </c>
      <c r="N390" s="21" t="inlineStr"/>
      <c r="O390" s="21" t="inlineStr"/>
      <c r="P390" s="23" t="inlineStr">
        <is>
          <t>—</t>
        </is>
      </c>
      <c r="Q390" s="23" t="inlineStr"/>
      <c r="R390" s="28" t="n"/>
      <c r="S390" s="23" t="inlineStr"/>
      <c r="T390" s="19" t="inlineStr">
        <is>
          <t>🟡 Новий</t>
        </is>
      </c>
      <c r="U390" s="21" t="inlineStr"/>
      <c r="V390" s="28" t="n"/>
      <c r="W390" s="21" t="inlineStr"/>
    </row>
    <row r="391" ht="20" customHeight="1">
      <c r="A391" s="9" t="n">
        <v>389</v>
      </c>
      <c r="B391" s="10" t="inlineStr">
        <is>
          <t>Ратуша</t>
        </is>
      </c>
      <c r="C391" s="10" t="inlineStr">
        <is>
          <t>Львів</t>
        </is>
      </c>
      <c r="D391" s="33" t="inlineStr">
        <is>
          <t>+380 322 97 5565</t>
        </is>
      </c>
      <c r="E391" s="11" t="inlineStr"/>
      <c r="F391" s="11" t="inlineStr"/>
      <c r="G391" s="13" t="inlineStr">
        <is>
          <t>📍</t>
        </is>
      </c>
      <c r="H391" s="11" t="inlineStr"/>
      <c r="I391" s="11" t="inlineStr"/>
      <c r="J391" s="40" t="inlineStr">
        <is>
          <t>🔥 Без сайту</t>
        </is>
      </c>
      <c r="K391" s="39" t="inlineStr">
        <is>
          <t>❌</t>
        </is>
      </c>
      <c r="L391" s="16" t="inlineStr">
        <is>
          <t>❌</t>
        </is>
      </c>
      <c r="M391" s="38" t="inlineStr">
        <is>
          <t>🟢 A</t>
        </is>
      </c>
      <c r="N391" s="10" t="inlineStr"/>
      <c r="O391" s="10" t="inlineStr"/>
      <c r="P391" s="11" t="inlineStr">
        <is>
          <t>—</t>
        </is>
      </c>
      <c r="Q391" s="11" t="inlineStr"/>
      <c r="R391" s="18" t="n"/>
      <c r="S391" s="11" t="inlineStr"/>
      <c r="T391" s="19" t="inlineStr">
        <is>
          <t>🟡 Новий</t>
        </is>
      </c>
      <c r="U391" s="10" t="inlineStr"/>
      <c r="V391" s="18" t="n"/>
      <c r="W391" s="10" t="inlineStr"/>
    </row>
    <row r="392" ht="20" customHeight="1">
      <c r="A392" s="20" t="n">
        <v>390</v>
      </c>
      <c r="B392" s="21" t="inlineStr">
        <is>
          <t>Резон</t>
        </is>
      </c>
      <c r="C392" s="21" t="inlineStr">
        <is>
          <t>Львів</t>
        </is>
      </c>
      <c r="D392" s="23" t="inlineStr"/>
      <c r="E392" s="23" t="inlineStr"/>
      <c r="F392" s="23" t="inlineStr"/>
      <c r="G392" s="25" t="inlineStr">
        <is>
          <t>📍</t>
        </is>
      </c>
      <c r="H392" s="23" t="inlineStr"/>
      <c r="I392" s="23" t="inlineStr"/>
      <c r="J392" s="40" t="inlineStr">
        <is>
          <t>🔥 Без сайту</t>
        </is>
      </c>
      <c r="K392" s="37" t="inlineStr">
        <is>
          <t>❌</t>
        </is>
      </c>
      <c r="L392" s="27" t="inlineStr">
        <is>
          <t>❌</t>
        </is>
      </c>
      <c r="M392" s="38" t="inlineStr">
        <is>
          <t>🟢 A</t>
        </is>
      </c>
      <c r="N392" s="21" t="inlineStr"/>
      <c r="O392" s="21" t="inlineStr"/>
      <c r="P392" s="23" t="inlineStr">
        <is>
          <t>—</t>
        </is>
      </c>
      <c r="Q392" s="23" t="inlineStr"/>
      <c r="R392" s="28" t="n"/>
      <c r="S392" s="23" t="inlineStr"/>
      <c r="T392" s="19" t="inlineStr">
        <is>
          <t>🟡 Новий</t>
        </is>
      </c>
      <c r="U392" s="21" t="inlineStr"/>
      <c r="V392" s="28" t="n"/>
      <c r="W392" s="21" t="inlineStr"/>
    </row>
    <row r="393" ht="20" customHeight="1">
      <c r="A393" s="9" t="n">
        <v>391</v>
      </c>
      <c r="B393" s="10" t="inlineStr">
        <is>
          <t>Родзинка</t>
        </is>
      </c>
      <c r="C393" s="10" t="inlineStr">
        <is>
          <t>Львів</t>
        </is>
      </c>
      <c r="D393" s="11" t="inlineStr"/>
      <c r="E393" s="11" t="inlineStr"/>
      <c r="F393" s="11" t="inlineStr"/>
      <c r="G393" s="13" t="inlineStr">
        <is>
          <t>📍</t>
        </is>
      </c>
      <c r="H393" s="11" t="inlineStr"/>
      <c r="I393" s="11" t="inlineStr"/>
      <c r="J393" s="40" t="inlineStr">
        <is>
          <t>🔥 Без сайту</t>
        </is>
      </c>
      <c r="K393" s="39" t="inlineStr">
        <is>
          <t>❌</t>
        </is>
      </c>
      <c r="L393" s="16" t="inlineStr">
        <is>
          <t>❌</t>
        </is>
      </c>
      <c r="M393" s="38" t="inlineStr">
        <is>
          <t>🟢 A</t>
        </is>
      </c>
      <c r="N393" s="10" t="inlineStr"/>
      <c r="O393" s="10" t="inlineStr"/>
      <c r="P393" s="11" t="inlineStr">
        <is>
          <t>—</t>
        </is>
      </c>
      <c r="Q393" s="11" t="inlineStr"/>
      <c r="R393" s="18" t="n"/>
      <c r="S393" s="11" t="inlineStr"/>
      <c r="T393" s="19" t="inlineStr">
        <is>
          <t>🟡 Новий</t>
        </is>
      </c>
      <c r="U393" s="10" t="inlineStr"/>
      <c r="V393" s="18" t="n"/>
      <c r="W393" s="10" t="inlineStr"/>
    </row>
    <row r="394" ht="20" customHeight="1">
      <c r="A394" s="20" t="n">
        <v>392</v>
      </c>
      <c r="B394" s="21" t="inlineStr">
        <is>
          <t>Родзинка Люксична</t>
        </is>
      </c>
      <c r="C394" s="21" t="inlineStr">
        <is>
          <t>вул. вулиця Митрополита Антонія Ангеловича, 32, Львів</t>
        </is>
      </c>
      <c r="D394" s="23" t="inlineStr"/>
      <c r="E394" s="23" t="inlineStr"/>
      <c r="F394" s="23" t="inlineStr"/>
      <c r="G394" s="25" t="inlineStr">
        <is>
          <t>📍</t>
        </is>
      </c>
      <c r="H394" s="23" t="inlineStr"/>
      <c r="I394" s="23" t="inlineStr"/>
      <c r="J394" s="40" t="inlineStr">
        <is>
          <t>🔥 Без сайту</t>
        </is>
      </c>
      <c r="K394" s="37" t="inlineStr">
        <is>
          <t>❌</t>
        </is>
      </c>
      <c r="L394" s="27" t="inlineStr">
        <is>
          <t>❌</t>
        </is>
      </c>
      <c r="M394" s="38" t="inlineStr">
        <is>
          <t>🟢 A</t>
        </is>
      </c>
      <c r="N394" s="21" t="inlineStr"/>
      <c r="O394" s="21" t="inlineStr"/>
      <c r="P394" s="23" t="inlineStr">
        <is>
          <t>—</t>
        </is>
      </c>
      <c r="Q394" s="23" t="inlineStr"/>
      <c r="R394" s="28" t="n"/>
      <c r="S394" s="23" t="inlineStr"/>
      <c r="T394" s="19" t="inlineStr">
        <is>
          <t>🟡 Новий</t>
        </is>
      </c>
      <c r="U394" s="21" t="inlineStr"/>
      <c r="V394" s="28" t="n"/>
      <c r="W394" s="21" t="inlineStr"/>
    </row>
    <row r="395" ht="20" customHeight="1">
      <c r="A395" s="9" t="n">
        <v>393</v>
      </c>
      <c r="B395" s="10" t="inlineStr">
        <is>
          <t>Розмарин</t>
        </is>
      </c>
      <c r="C395" s="10" t="inlineStr">
        <is>
          <t>Львів</t>
        </is>
      </c>
      <c r="D395" s="11" t="inlineStr"/>
      <c r="E395" s="11" t="inlineStr"/>
      <c r="F395" s="11" t="inlineStr"/>
      <c r="G395" s="13" t="inlineStr">
        <is>
          <t>📍</t>
        </is>
      </c>
      <c r="H395" s="11" t="inlineStr"/>
      <c r="I395" s="11" t="inlineStr"/>
      <c r="J395" s="40" t="inlineStr">
        <is>
          <t>🔥 Без сайту</t>
        </is>
      </c>
      <c r="K395" s="39" t="inlineStr">
        <is>
          <t>❌</t>
        </is>
      </c>
      <c r="L395" s="16" t="inlineStr">
        <is>
          <t>❌</t>
        </is>
      </c>
      <c r="M395" s="38" t="inlineStr">
        <is>
          <t>🟢 A</t>
        </is>
      </c>
      <c r="N395" s="10" t="inlineStr"/>
      <c r="O395" s="10" t="inlineStr"/>
      <c r="P395" s="11" t="inlineStr">
        <is>
          <t>—</t>
        </is>
      </c>
      <c r="Q395" s="11" t="inlineStr"/>
      <c r="R395" s="18" t="n"/>
      <c r="S395" s="11" t="inlineStr"/>
      <c r="T395" s="19" t="inlineStr">
        <is>
          <t>🟡 Новий</t>
        </is>
      </c>
      <c r="U395" s="10" t="inlineStr"/>
      <c r="V395" s="18" t="n"/>
      <c r="W395" s="10" t="inlineStr"/>
    </row>
    <row r="396" ht="20" customHeight="1">
      <c r="A396" s="20" t="n">
        <v>394</v>
      </c>
      <c r="B396" s="21" t="inlineStr">
        <is>
          <t>Рубці</t>
        </is>
      </c>
      <c r="C396" s="21" t="inlineStr">
        <is>
          <t>Львів</t>
        </is>
      </c>
      <c r="D396" s="23" t="inlineStr"/>
      <c r="E396" s="23" t="inlineStr"/>
      <c r="F396" s="23" t="inlineStr"/>
      <c r="G396" s="25" t="inlineStr">
        <is>
          <t>📍</t>
        </is>
      </c>
      <c r="H396" s="23" t="inlineStr"/>
      <c r="I396" s="23" t="inlineStr"/>
      <c r="J396" s="40" t="inlineStr">
        <is>
          <t>🔥 Без сайту</t>
        </is>
      </c>
      <c r="K396" s="37" t="inlineStr">
        <is>
          <t>❌</t>
        </is>
      </c>
      <c r="L396" s="27" t="inlineStr">
        <is>
          <t>❌</t>
        </is>
      </c>
      <c r="M396" s="38" t="inlineStr">
        <is>
          <t>🟢 A</t>
        </is>
      </c>
      <c r="N396" s="21" t="inlineStr"/>
      <c r="O396" s="21" t="inlineStr"/>
      <c r="P396" s="23" t="inlineStr">
        <is>
          <t>—</t>
        </is>
      </c>
      <c r="Q396" s="23" t="inlineStr"/>
      <c r="R396" s="28" t="n"/>
      <c r="S396" s="23" t="inlineStr"/>
      <c r="T396" s="19" t="inlineStr">
        <is>
          <t>🟡 Новий</t>
        </is>
      </c>
      <c r="U396" s="21" t="inlineStr"/>
      <c r="V396" s="28" t="n"/>
      <c r="W396" s="21" t="inlineStr"/>
    </row>
    <row r="397" ht="20" customHeight="1">
      <c r="A397" s="9" t="n">
        <v>395</v>
      </c>
      <c r="B397" s="10" t="inlineStr">
        <is>
          <t>Рудий Кіт</t>
        </is>
      </c>
      <c r="C397" s="10" t="inlineStr">
        <is>
          <t>Львів</t>
        </is>
      </c>
      <c r="D397" s="11" t="inlineStr"/>
      <c r="E397" s="11" t="inlineStr"/>
      <c r="F397" s="11" t="inlineStr"/>
      <c r="G397" s="13" t="inlineStr">
        <is>
          <t>📍</t>
        </is>
      </c>
      <c r="H397" s="11" t="inlineStr"/>
      <c r="I397" s="11" t="inlineStr"/>
      <c r="J397" s="40" t="inlineStr">
        <is>
          <t>🔥 Без сайту</t>
        </is>
      </c>
      <c r="K397" s="39" t="inlineStr">
        <is>
          <t>❌</t>
        </is>
      </c>
      <c r="L397" s="16" t="inlineStr">
        <is>
          <t>❌</t>
        </is>
      </c>
      <c r="M397" s="38" t="inlineStr">
        <is>
          <t>🟢 A</t>
        </is>
      </c>
      <c r="N397" s="10" t="inlineStr"/>
      <c r="O397" s="10" t="inlineStr"/>
      <c r="P397" s="11" t="inlineStr">
        <is>
          <t>—</t>
        </is>
      </c>
      <c r="Q397" s="11" t="inlineStr"/>
      <c r="R397" s="18" t="n"/>
      <c r="S397" s="11" t="inlineStr"/>
      <c r="T397" s="19" t="inlineStr">
        <is>
          <t>🟡 Новий</t>
        </is>
      </c>
      <c r="U397" s="10" t="inlineStr"/>
      <c r="V397" s="18" t="n"/>
      <c r="W397" s="10" t="inlineStr"/>
    </row>
    <row r="398" ht="20" customHeight="1">
      <c r="A398" s="20" t="n">
        <v>396</v>
      </c>
      <c r="B398" s="21" t="inlineStr">
        <is>
          <t>Садиба</t>
        </is>
      </c>
      <c r="C398" s="21" t="inlineStr">
        <is>
          <t>Львів</t>
        </is>
      </c>
      <c r="D398" s="23" t="inlineStr"/>
      <c r="E398" s="23" t="inlineStr"/>
      <c r="F398" s="23" t="inlineStr"/>
      <c r="G398" s="25" t="inlineStr">
        <is>
          <t>📍</t>
        </is>
      </c>
      <c r="H398" s="23" t="inlineStr"/>
      <c r="I398" s="23" t="inlineStr"/>
      <c r="J398" s="40" t="inlineStr">
        <is>
          <t>🔥 Без сайту</t>
        </is>
      </c>
      <c r="K398" s="37" t="inlineStr">
        <is>
          <t>❌</t>
        </is>
      </c>
      <c r="L398" s="27" t="inlineStr">
        <is>
          <t>❌</t>
        </is>
      </c>
      <c r="M398" s="38" t="inlineStr">
        <is>
          <t>🟢 A</t>
        </is>
      </c>
      <c r="N398" s="21" t="inlineStr"/>
      <c r="O398" s="21" t="inlineStr"/>
      <c r="P398" s="23" t="inlineStr">
        <is>
          <t>—</t>
        </is>
      </c>
      <c r="Q398" s="23" t="inlineStr"/>
      <c r="R398" s="28" t="n"/>
      <c r="S398" s="23" t="inlineStr"/>
      <c r="T398" s="19" t="inlineStr">
        <is>
          <t>🟡 Новий</t>
        </is>
      </c>
      <c r="U398" s="21" t="inlineStr"/>
      <c r="V398" s="28" t="n"/>
      <c r="W398" s="21" t="inlineStr"/>
    </row>
    <row r="399" ht="20" customHeight="1">
      <c r="A399" s="9" t="n">
        <v>397</v>
      </c>
      <c r="B399" s="10" t="inlineStr">
        <is>
          <t>Сакура</t>
        </is>
      </c>
      <c r="C399" s="10" t="inlineStr">
        <is>
          <t>Львів</t>
        </is>
      </c>
      <c r="D399" s="11" t="inlineStr"/>
      <c r="E399" s="11" t="inlineStr"/>
      <c r="F399" s="11" t="inlineStr"/>
      <c r="G399" s="13" t="inlineStr">
        <is>
          <t>📍</t>
        </is>
      </c>
      <c r="H399" s="11" t="inlineStr"/>
      <c r="I399" s="11" t="inlineStr"/>
      <c r="J399" s="40" t="inlineStr">
        <is>
          <t>🔥 Без сайту</t>
        </is>
      </c>
      <c r="K399" s="39" t="inlineStr">
        <is>
          <t>❌</t>
        </is>
      </c>
      <c r="L399" s="16" t="inlineStr">
        <is>
          <t>❌</t>
        </is>
      </c>
      <c r="M399" s="38" t="inlineStr">
        <is>
          <t>🟢 A</t>
        </is>
      </c>
      <c r="N399" s="10" t="inlineStr"/>
      <c r="O399" s="10" t="inlineStr"/>
      <c r="P399" s="11" t="inlineStr">
        <is>
          <t>—</t>
        </is>
      </c>
      <c r="Q399" s="11" t="inlineStr"/>
      <c r="R399" s="18" t="n"/>
      <c r="S399" s="11" t="inlineStr"/>
      <c r="T399" s="19" t="inlineStr">
        <is>
          <t>🟡 Новий</t>
        </is>
      </c>
      <c r="U399" s="10" t="inlineStr"/>
      <c r="V399" s="18" t="n"/>
      <c r="W399" s="10" t="inlineStr"/>
    </row>
    <row r="400" ht="20" customHeight="1">
      <c r="A400" s="20" t="n">
        <v>398</v>
      </c>
      <c r="B400" s="21" t="inlineStr">
        <is>
          <t>Сангай</t>
        </is>
      </c>
      <c r="C400" s="21" t="inlineStr">
        <is>
          <t>Львів</t>
        </is>
      </c>
      <c r="D400" s="23" t="inlineStr"/>
      <c r="E400" s="23" t="inlineStr"/>
      <c r="F400" s="23" t="inlineStr"/>
      <c r="G400" s="25" t="inlineStr">
        <is>
          <t>📍</t>
        </is>
      </c>
      <c r="H400" s="23" t="inlineStr"/>
      <c r="I400" s="23" t="inlineStr"/>
      <c r="J400" s="40" t="inlineStr">
        <is>
          <t>🔥 Без сайту</t>
        </is>
      </c>
      <c r="K400" s="37" t="inlineStr">
        <is>
          <t>❌</t>
        </is>
      </c>
      <c r="L400" s="27" t="inlineStr">
        <is>
          <t>❌</t>
        </is>
      </c>
      <c r="M400" s="38" t="inlineStr">
        <is>
          <t>🟢 A</t>
        </is>
      </c>
      <c r="N400" s="21" t="inlineStr"/>
      <c r="O400" s="21" t="inlineStr"/>
      <c r="P400" s="23" t="inlineStr">
        <is>
          <t>—</t>
        </is>
      </c>
      <c r="Q400" s="23" t="inlineStr"/>
      <c r="R400" s="28" t="n"/>
      <c r="S400" s="23" t="inlineStr"/>
      <c r="T400" s="19" t="inlineStr">
        <is>
          <t>🟡 Новий</t>
        </is>
      </c>
      <c r="U400" s="21" t="inlineStr"/>
      <c r="V400" s="28" t="n"/>
      <c r="W400" s="21" t="inlineStr"/>
    </row>
    <row r="401" ht="20" customHeight="1">
      <c r="A401" s="9" t="n">
        <v>399</v>
      </c>
      <c r="B401" s="10" t="inlineStr">
        <is>
          <t>Санта Барбара</t>
        </is>
      </c>
      <c r="C401" s="10" t="inlineStr">
        <is>
          <t>Львів</t>
        </is>
      </c>
      <c r="D401" s="11" t="inlineStr"/>
      <c r="E401" s="11" t="inlineStr"/>
      <c r="F401" s="11" t="inlineStr"/>
      <c r="G401" s="13" t="inlineStr">
        <is>
          <t>📍</t>
        </is>
      </c>
      <c r="H401" s="11" t="inlineStr"/>
      <c r="I401" s="11" t="inlineStr"/>
      <c r="J401" s="40" t="inlineStr">
        <is>
          <t>🔥 Без сайту</t>
        </is>
      </c>
      <c r="K401" s="39" t="inlineStr">
        <is>
          <t>❌</t>
        </is>
      </c>
      <c r="L401" s="16" t="inlineStr">
        <is>
          <t>❌</t>
        </is>
      </c>
      <c r="M401" s="38" t="inlineStr">
        <is>
          <t>🟢 A</t>
        </is>
      </c>
      <c r="N401" s="10" t="inlineStr"/>
      <c r="O401" s="10" t="inlineStr"/>
      <c r="P401" s="11" t="inlineStr">
        <is>
          <t>—</t>
        </is>
      </c>
      <c r="Q401" s="11" t="inlineStr"/>
      <c r="R401" s="18" t="n"/>
      <c r="S401" s="11" t="inlineStr"/>
      <c r="T401" s="19" t="inlineStr">
        <is>
          <t>🟡 Новий</t>
        </is>
      </c>
      <c r="U401" s="10" t="inlineStr"/>
      <c r="V401" s="18" t="n"/>
      <c r="W401" s="10" t="inlineStr"/>
    </row>
    <row r="402" ht="20" customHeight="1">
      <c r="A402" s="20" t="n">
        <v>400</v>
      </c>
      <c r="B402" s="21" t="inlineStr">
        <is>
          <t>Сателіт</t>
        </is>
      </c>
      <c r="C402" s="21" t="inlineStr">
        <is>
          <t>Львів</t>
        </is>
      </c>
      <c r="D402" s="23" t="inlineStr"/>
      <c r="E402" s="23" t="inlineStr"/>
      <c r="F402" s="23" t="inlineStr"/>
      <c r="G402" s="25" t="inlineStr">
        <is>
          <t>📍</t>
        </is>
      </c>
      <c r="H402" s="23" t="inlineStr"/>
      <c r="I402" s="23" t="inlineStr"/>
      <c r="J402" s="40" t="inlineStr">
        <is>
          <t>🔥 Без сайту</t>
        </is>
      </c>
      <c r="K402" s="37" t="inlineStr">
        <is>
          <t>❌</t>
        </is>
      </c>
      <c r="L402" s="27" t="inlineStr">
        <is>
          <t>❌</t>
        </is>
      </c>
      <c r="M402" s="38" t="inlineStr">
        <is>
          <t>🟢 A</t>
        </is>
      </c>
      <c r="N402" s="21" t="inlineStr"/>
      <c r="O402" s="21" t="inlineStr"/>
      <c r="P402" s="23" t="inlineStr">
        <is>
          <t>—</t>
        </is>
      </c>
      <c r="Q402" s="23" t="inlineStr"/>
      <c r="R402" s="28" t="n"/>
      <c r="S402" s="23" t="inlineStr"/>
      <c r="T402" s="19" t="inlineStr">
        <is>
          <t>🟡 Новий</t>
        </is>
      </c>
      <c r="U402" s="21" t="inlineStr"/>
      <c r="V402" s="28" t="n"/>
      <c r="W402" s="21" t="inlineStr"/>
    </row>
    <row r="403" ht="20" customHeight="1">
      <c r="A403" s="9" t="n">
        <v>401</v>
      </c>
      <c r="B403" s="10" t="inlineStr">
        <is>
          <t>Смачна хатинка на нашому ринку</t>
        </is>
      </c>
      <c r="C403" s="10" t="inlineStr">
        <is>
          <t>Львів</t>
        </is>
      </c>
      <c r="D403" s="11" t="inlineStr"/>
      <c r="E403" s="11" t="inlineStr"/>
      <c r="F403" s="11" t="inlineStr"/>
      <c r="G403" s="13" t="inlineStr">
        <is>
          <t>📍</t>
        </is>
      </c>
      <c r="H403" s="11" t="inlineStr"/>
      <c r="I403" s="11" t="inlineStr"/>
      <c r="J403" s="40" t="inlineStr">
        <is>
          <t>🔥 Без сайту</t>
        </is>
      </c>
      <c r="K403" s="39" t="inlineStr">
        <is>
          <t>❌</t>
        </is>
      </c>
      <c r="L403" s="16" t="inlineStr">
        <is>
          <t>❌</t>
        </is>
      </c>
      <c r="M403" s="38" t="inlineStr">
        <is>
          <t>🟢 A</t>
        </is>
      </c>
      <c r="N403" s="10" t="inlineStr"/>
      <c r="O403" s="10" t="inlineStr"/>
      <c r="P403" s="11" t="inlineStr">
        <is>
          <t>—</t>
        </is>
      </c>
      <c r="Q403" s="11" t="inlineStr"/>
      <c r="R403" s="18" t="n"/>
      <c r="S403" s="11" t="inlineStr"/>
      <c r="T403" s="19" t="inlineStr">
        <is>
          <t>🟡 Новий</t>
        </is>
      </c>
      <c r="U403" s="10" t="inlineStr"/>
      <c r="V403" s="18" t="n"/>
      <c r="W403" s="10" t="inlineStr"/>
    </row>
    <row r="404" ht="20" customHeight="1">
      <c r="A404" s="20" t="n">
        <v>402</v>
      </c>
      <c r="B404" s="21" t="inlineStr">
        <is>
          <t>Смачно як у мами</t>
        </is>
      </c>
      <c r="C404" s="21" t="inlineStr">
        <is>
          <t>Львів</t>
        </is>
      </c>
      <c r="D404" s="23" t="inlineStr"/>
      <c r="E404" s="23" t="inlineStr"/>
      <c r="F404" s="23" t="inlineStr"/>
      <c r="G404" s="25" t="inlineStr">
        <is>
          <t>📍</t>
        </is>
      </c>
      <c r="H404" s="23" t="inlineStr"/>
      <c r="I404" s="23" t="inlineStr"/>
      <c r="J404" s="40" t="inlineStr">
        <is>
          <t>🔥 Без сайту</t>
        </is>
      </c>
      <c r="K404" s="37" t="inlineStr">
        <is>
          <t>❌</t>
        </is>
      </c>
      <c r="L404" s="27" t="inlineStr">
        <is>
          <t>❌</t>
        </is>
      </c>
      <c r="M404" s="38" t="inlineStr">
        <is>
          <t>🟢 A</t>
        </is>
      </c>
      <c r="N404" s="21" t="inlineStr"/>
      <c r="O404" s="21" t="inlineStr"/>
      <c r="P404" s="23" t="inlineStr">
        <is>
          <t>—</t>
        </is>
      </c>
      <c r="Q404" s="23" t="inlineStr"/>
      <c r="R404" s="28" t="n"/>
      <c r="S404" s="23" t="inlineStr"/>
      <c r="T404" s="19" t="inlineStr">
        <is>
          <t>🟡 Новий</t>
        </is>
      </c>
      <c r="U404" s="21" t="inlineStr"/>
      <c r="V404" s="28" t="n"/>
      <c r="W404" s="21" t="inlineStr"/>
    </row>
    <row r="405" ht="20" customHeight="1">
      <c r="A405" s="9" t="n">
        <v>403</v>
      </c>
      <c r="B405" s="10" t="inlineStr">
        <is>
          <t>Смачні сезони</t>
        </is>
      </c>
      <c r="C405" s="10" t="inlineStr">
        <is>
          <t>Львів</t>
        </is>
      </c>
      <c r="D405" s="11" t="inlineStr"/>
      <c r="E405" s="11" t="inlineStr"/>
      <c r="F405" s="11" t="inlineStr"/>
      <c r="G405" s="13" t="inlineStr">
        <is>
          <t>📍</t>
        </is>
      </c>
      <c r="H405" s="11" t="inlineStr"/>
      <c r="I405" s="11" t="inlineStr"/>
      <c r="J405" s="40" t="inlineStr">
        <is>
          <t>🔥 Без сайту</t>
        </is>
      </c>
      <c r="K405" s="39" t="inlineStr">
        <is>
          <t>❌</t>
        </is>
      </c>
      <c r="L405" s="16" t="inlineStr">
        <is>
          <t>❌</t>
        </is>
      </c>
      <c r="M405" s="38" t="inlineStr">
        <is>
          <t>🟢 A</t>
        </is>
      </c>
      <c r="N405" s="10" t="inlineStr"/>
      <c r="O405" s="10" t="inlineStr"/>
      <c r="P405" s="11" t="inlineStr">
        <is>
          <t>—</t>
        </is>
      </c>
      <c r="Q405" s="11" t="inlineStr"/>
      <c r="R405" s="18" t="n"/>
      <c r="S405" s="11" t="inlineStr"/>
      <c r="T405" s="19" t="inlineStr">
        <is>
          <t>🟡 Новий</t>
        </is>
      </c>
      <c r="U405" s="10" t="inlineStr"/>
      <c r="V405" s="18" t="n"/>
      <c r="W405" s="10" t="inlineStr"/>
    </row>
    <row r="406" ht="20" customHeight="1">
      <c r="A406" s="20" t="n">
        <v>404</v>
      </c>
      <c r="B406" s="21" t="inlineStr">
        <is>
          <t>Соколи</t>
        </is>
      </c>
      <c r="C406" s="21" t="inlineStr">
        <is>
          <t>Львів</t>
        </is>
      </c>
      <c r="D406" s="23" t="inlineStr"/>
      <c r="E406" s="23" t="inlineStr"/>
      <c r="F406" s="23" t="inlineStr"/>
      <c r="G406" s="25" t="inlineStr">
        <is>
          <t>📍</t>
        </is>
      </c>
      <c r="H406" s="23" t="inlineStr"/>
      <c r="I406" s="23" t="inlineStr"/>
      <c r="J406" s="40" t="inlineStr">
        <is>
          <t>🔥 Без сайту</t>
        </is>
      </c>
      <c r="K406" s="37" t="inlineStr">
        <is>
          <t>❌</t>
        </is>
      </c>
      <c r="L406" s="27" t="inlineStr">
        <is>
          <t>❌</t>
        </is>
      </c>
      <c r="M406" s="38" t="inlineStr">
        <is>
          <t>🟢 A</t>
        </is>
      </c>
      <c r="N406" s="21" t="inlineStr"/>
      <c r="O406" s="21" t="inlineStr"/>
      <c r="P406" s="23" t="inlineStr">
        <is>
          <t>—</t>
        </is>
      </c>
      <c r="Q406" s="23" t="inlineStr"/>
      <c r="R406" s="28" t="n"/>
      <c r="S406" s="23" t="inlineStr"/>
      <c r="T406" s="19" t="inlineStr">
        <is>
          <t>🟡 Новий</t>
        </is>
      </c>
      <c r="U406" s="21" t="inlineStr"/>
      <c r="V406" s="28" t="n"/>
      <c r="W406" s="21" t="inlineStr"/>
    </row>
    <row r="407" ht="20" customHeight="1">
      <c r="A407" s="9" t="n">
        <v>405</v>
      </c>
      <c r="B407" s="10" t="inlineStr">
        <is>
          <t>Солодка скриня</t>
        </is>
      </c>
      <c r="C407" s="10" t="inlineStr">
        <is>
          <t>Львів</t>
        </is>
      </c>
      <c r="D407" s="11" t="inlineStr"/>
      <c r="E407" s="11" t="inlineStr"/>
      <c r="F407" s="11" t="inlineStr"/>
      <c r="G407" s="13" t="inlineStr">
        <is>
          <t>📍</t>
        </is>
      </c>
      <c r="H407" s="11" t="inlineStr"/>
      <c r="I407" s="11" t="inlineStr"/>
      <c r="J407" s="40" t="inlineStr">
        <is>
          <t>🔥 Без сайту</t>
        </is>
      </c>
      <c r="K407" s="39" t="inlineStr">
        <is>
          <t>❌</t>
        </is>
      </c>
      <c r="L407" s="16" t="inlineStr">
        <is>
          <t>❌</t>
        </is>
      </c>
      <c r="M407" s="38" t="inlineStr">
        <is>
          <t>🟢 A</t>
        </is>
      </c>
      <c r="N407" s="10" t="inlineStr"/>
      <c r="O407" s="10" t="inlineStr"/>
      <c r="P407" s="11" t="inlineStr">
        <is>
          <t>—</t>
        </is>
      </c>
      <c r="Q407" s="11" t="inlineStr"/>
      <c r="R407" s="18" t="n"/>
      <c r="S407" s="11" t="inlineStr"/>
      <c r="T407" s="19" t="inlineStr">
        <is>
          <t>🟡 Новий</t>
        </is>
      </c>
      <c r="U407" s="10" t="inlineStr"/>
      <c r="V407" s="18" t="n"/>
      <c r="W407" s="10" t="inlineStr"/>
    </row>
    <row r="408" ht="20" customHeight="1">
      <c r="A408" s="20" t="n">
        <v>406</v>
      </c>
      <c r="B408" s="21" t="inlineStr">
        <is>
          <t>Соняшник</t>
        </is>
      </c>
      <c r="C408" s="21" t="inlineStr">
        <is>
          <t>Львів</t>
        </is>
      </c>
      <c r="D408" s="22" t="inlineStr">
        <is>
          <t>+380679018973</t>
        </is>
      </c>
      <c r="E408" s="23" t="inlineStr"/>
      <c r="F408" s="23" t="inlineStr"/>
      <c r="G408" s="25" t="inlineStr">
        <is>
          <t>📍</t>
        </is>
      </c>
      <c r="H408" s="23" t="inlineStr"/>
      <c r="I408" s="23" t="inlineStr"/>
      <c r="J408" s="40" t="inlineStr">
        <is>
          <t>🔥 Без сайту</t>
        </is>
      </c>
      <c r="K408" s="37" t="inlineStr">
        <is>
          <t>❌</t>
        </is>
      </c>
      <c r="L408" s="27" t="inlineStr">
        <is>
          <t>❌</t>
        </is>
      </c>
      <c r="M408" s="38" t="inlineStr">
        <is>
          <t>🟢 A</t>
        </is>
      </c>
      <c r="N408" s="21" t="inlineStr"/>
      <c r="O408" s="21" t="inlineStr"/>
      <c r="P408" s="23" t="inlineStr">
        <is>
          <t>—</t>
        </is>
      </c>
      <c r="Q408" s="23" t="inlineStr"/>
      <c r="R408" s="28" t="n"/>
      <c r="S408" s="23" t="inlineStr"/>
      <c r="T408" s="19" t="inlineStr">
        <is>
          <t>🟡 Новий</t>
        </is>
      </c>
      <c r="U408" s="21" t="inlineStr"/>
      <c r="V408" s="28" t="n"/>
      <c r="W408" s="21" t="inlineStr"/>
    </row>
    <row r="409" ht="20" customHeight="1">
      <c r="A409" s="9" t="n">
        <v>407</v>
      </c>
      <c r="B409" s="10" t="inlineStr">
        <is>
          <t>Спілка</t>
        </is>
      </c>
      <c r="C409" s="10" t="inlineStr">
        <is>
          <t>вул. Малоголосківська вулиця, 40а, Львів</t>
        </is>
      </c>
      <c r="D409" s="11" t="inlineStr"/>
      <c r="E409" s="11" t="inlineStr"/>
      <c r="F409" s="11" t="inlineStr"/>
      <c r="G409" s="13" t="inlineStr">
        <is>
          <t>📍</t>
        </is>
      </c>
      <c r="H409" s="11" t="inlineStr"/>
      <c r="I409" s="11" t="inlineStr"/>
      <c r="J409" s="40" t="inlineStr">
        <is>
          <t>🔥 Без сайту</t>
        </is>
      </c>
      <c r="K409" s="39" t="inlineStr">
        <is>
          <t>❌</t>
        </is>
      </c>
      <c r="L409" s="16" t="inlineStr">
        <is>
          <t>❌</t>
        </is>
      </c>
      <c r="M409" s="38" t="inlineStr">
        <is>
          <t>🟢 A</t>
        </is>
      </c>
      <c r="N409" s="10" t="inlineStr"/>
      <c r="O409" s="10" t="inlineStr"/>
      <c r="P409" s="11" t="inlineStr">
        <is>
          <t>—</t>
        </is>
      </c>
      <c r="Q409" s="11" t="inlineStr"/>
      <c r="R409" s="18" t="n"/>
      <c r="S409" s="11" t="inlineStr"/>
      <c r="T409" s="19" t="inlineStr">
        <is>
          <t>🟡 Новий</t>
        </is>
      </c>
      <c r="U409" s="10" t="inlineStr"/>
      <c r="V409" s="18" t="n"/>
      <c r="W409" s="10" t="inlineStr"/>
    </row>
    <row r="410" ht="20" customHeight="1">
      <c r="A410" s="20" t="n">
        <v>408</v>
      </c>
      <c r="B410" s="21" t="inlineStr">
        <is>
          <t>Станція Ситі</t>
        </is>
      </c>
      <c r="C410" s="21" t="inlineStr">
        <is>
          <t>Львів</t>
        </is>
      </c>
      <c r="D410" s="23" t="inlineStr"/>
      <c r="E410" s="23" t="inlineStr"/>
      <c r="F410" s="23" t="inlineStr"/>
      <c r="G410" s="25" t="inlineStr">
        <is>
          <t>📍</t>
        </is>
      </c>
      <c r="H410" s="23" t="inlineStr"/>
      <c r="I410" s="23" t="inlineStr"/>
      <c r="J410" s="40" t="inlineStr">
        <is>
          <t>🔥 Без сайту</t>
        </is>
      </c>
      <c r="K410" s="37" t="inlineStr">
        <is>
          <t>❌</t>
        </is>
      </c>
      <c r="L410" s="27" t="inlineStr">
        <is>
          <t>❌</t>
        </is>
      </c>
      <c r="M410" s="38" t="inlineStr">
        <is>
          <t>🟢 A</t>
        </is>
      </c>
      <c r="N410" s="21" t="inlineStr"/>
      <c r="O410" s="21" t="inlineStr"/>
      <c r="P410" s="23" t="inlineStr">
        <is>
          <t>—</t>
        </is>
      </c>
      <c r="Q410" s="23" t="inlineStr"/>
      <c r="R410" s="28" t="n"/>
      <c r="S410" s="23" t="inlineStr"/>
      <c r="T410" s="19" t="inlineStr">
        <is>
          <t>🟡 Новий</t>
        </is>
      </c>
      <c r="U410" s="21" t="inlineStr"/>
      <c r="V410" s="28" t="n"/>
      <c r="W410" s="21" t="inlineStr"/>
    </row>
    <row r="411" ht="20" customHeight="1">
      <c r="A411" s="9" t="n">
        <v>409</v>
      </c>
      <c r="B411" s="10" t="inlineStr">
        <is>
          <t>Старе місто</t>
        </is>
      </c>
      <c r="C411" s="10" t="inlineStr">
        <is>
          <t>Львів</t>
        </is>
      </c>
      <c r="D411" s="11" t="inlineStr"/>
      <c r="E411" s="11" t="inlineStr"/>
      <c r="F411" s="11" t="inlineStr"/>
      <c r="G411" s="13" t="inlineStr">
        <is>
          <t>📍</t>
        </is>
      </c>
      <c r="H411" s="11" t="inlineStr"/>
      <c r="I411" s="11" t="inlineStr"/>
      <c r="J411" s="40" t="inlineStr">
        <is>
          <t>🔥 Без сайту</t>
        </is>
      </c>
      <c r="K411" s="39" t="inlineStr">
        <is>
          <t>❌</t>
        </is>
      </c>
      <c r="L411" s="16" t="inlineStr">
        <is>
          <t>❌</t>
        </is>
      </c>
      <c r="M411" s="38" t="inlineStr">
        <is>
          <t>🟢 A</t>
        </is>
      </c>
      <c r="N411" s="10" t="inlineStr"/>
      <c r="O411" s="10" t="inlineStr"/>
      <c r="P411" s="11" t="inlineStr">
        <is>
          <t>—</t>
        </is>
      </c>
      <c r="Q411" s="11" t="inlineStr"/>
      <c r="R411" s="18" t="n"/>
      <c r="S411" s="11" t="inlineStr"/>
      <c r="T411" s="19" t="inlineStr">
        <is>
          <t>🟡 Новий</t>
        </is>
      </c>
      <c r="U411" s="10" t="inlineStr"/>
      <c r="V411" s="18" t="n"/>
      <c r="W411" s="10" t="inlineStr"/>
    </row>
    <row r="412" ht="20" customHeight="1">
      <c r="A412" s="20" t="n">
        <v>410</v>
      </c>
      <c r="B412" s="21" t="inlineStr">
        <is>
          <t>Старий квартал</t>
        </is>
      </c>
      <c r="C412" s="21" t="inlineStr">
        <is>
          <t>Львів</t>
        </is>
      </c>
      <c r="D412" s="23" t="inlineStr"/>
      <c r="E412" s="23" t="inlineStr"/>
      <c r="F412" s="23" t="inlineStr"/>
      <c r="G412" s="25" t="inlineStr">
        <is>
          <t>📍</t>
        </is>
      </c>
      <c r="H412" s="23" t="inlineStr"/>
      <c r="I412" s="23" t="inlineStr"/>
      <c r="J412" s="40" t="inlineStr">
        <is>
          <t>🔥 Без сайту</t>
        </is>
      </c>
      <c r="K412" s="37" t="inlineStr">
        <is>
          <t>❌</t>
        </is>
      </c>
      <c r="L412" s="27" t="inlineStr">
        <is>
          <t>❌</t>
        </is>
      </c>
      <c r="M412" s="38" t="inlineStr">
        <is>
          <t>🟢 A</t>
        </is>
      </c>
      <c r="N412" s="21" t="inlineStr"/>
      <c r="O412" s="21" t="inlineStr"/>
      <c r="P412" s="23" t="inlineStr">
        <is>
          <t>—</t>
        </is>
      </c>
      <c r="Q412" s="23" t="inlineStr"/>
      <c r="R412" s="28" t="n"/>
      <c r="S412" s="23" t="inlineStr"/>
      <c r="T412" s="19" t="inlineStr">
        <is>
          <t>🟡 Новий</t>
        </is>
      </c>
      <c r="U412" s="21" t="inlineStr"/>
      <c r="V412" s="28" t="n"/>
      <c r="W412" s="21" t="inlineStr"/>
    </row>
    <row r="413" ht="20" customHeight="1">
      <c r="A413" s="9" t="n">
        <v>411</v>
      </c>
      <c r="B413" s="10" t="inlineStr">
        <is>
          <t>Старі мури</t>
        </is>
      </c>
      <c r="C413" s="10" t="inlineStr">
        <is>
          <t>Львів</t>
        </is>
      </c>
      <c r="D413" s="11" t="inlineStr"/>
      <c r="E413" s="11" t="inlineStr"/>
      <c r="F413" s="11" t="inlineStr"/>
      <c r="G413" s="13" t="inlineStr">
        <is>
          <t>📍</t>
        </is>
      </c>
      <c r="H413" s="11" t="inlineStr"/>
      <c r="I413" s="11" t="inlineStr"/>
      <c r="J413" s="40" t="inlineStr">
        <is>
          <t>🔥 Без сайту</t>
        </is>
      </c>
      <c r="K413" s="39" t="inlineStr">
        <is>
          <t>❌</t>
        </is>
      </c>
      <c r="L413" s="16" t="inlineStr">
        <is>
          <t>❌</t>
        </is>
      </c>
      <c r="M413" s="38" t="inlineStr">
        <is>
          <t>🟢 A</t>
        </is>
      </c>
      <c r="N413" s="10" t="inlineStr"/>
      <c r="O413" s="10" t="inlineStr"/>
      <c r="P413" s="11" t="inlineStr">
        <is>
          <t>—</t>
        </is>
      </c>
      <c r="Q413" s="11" t="inlineStr"/>
      <c r="R413" s="18" t="n"/>
      <c r="S413" s="11" t="inlineStr"/>
      <c r="T413" s="19" t="inlineStr">
        <is>
          <t>🟡 Новий</t>
        </is>
      </c>
      <c r="U413" s="10" t="inlineStr"/>
      <c r="V413" s="18" t="n"/>
      <c r="W413" s="10" t="inlineStr"/>
    </row>
    <row r="414" ht="20" customHeight="1">
      <c r="A414" s="20" t="n">
        <v>412</v>
      </c>
      <c r="B414" s="21" t="inlineStr">
        <is>
          <t>Студентське кафе Мандрівник</t>
        </is>
      </c>
      <c r="C414" s="21" t="inlineStr">
        <is>
          <t>Львів</t>
        </is>
      </c>
      <c r="D414" s="23" t="inlineStr"/>
      <c r="E414" s="23" t="inlineStr"/>
      <c r="F414" s="23" t="inlineStr"/>
      <c r="G414" s="25" t="inlineStr">
        <is>
          <t>📍</t>
        </is>
      </c>
      <c r="H414" s="23" t="inlineStr"/>
      <c r="I414" s="23" t="inlineStr"/>
      <c r="J414" s="40" t="inlineStr">
        <is>
          <t>🔥 Без сайту</t>
        </is>
      </c>
      <c r="K414" s="37" t="inlineStr">
        <is>
          <t>❌</t>
        </is>
      </c>
      <c r="L414" s="27" t="inlineStr">
        <is>
          <t>❌</t>
        </is>
      </c>
      <c r="M414" s="38" t="inlineStr">
        <is>
          <t>🟢 A</t>
        </is>
      </c>
      <c r="N414" s="21" t="inlineStr"/>
      <c r="O414" s="21" t="inlineStr"/>
      <c r="P414" s="23" t="inlineStr">
        <is>
          <t>—</t>
        </is>
      </c>
      <c r="Q414" s="23" t="inlineStr"/>
      <c r="R414" s="28" t="n"/>
      <c r="S414" s="23" t="inlineStr"/>
      <c r="T414" s="19" t="inlineStr">
        <is>
          <t>🟡 Новий</t>
        </is>
      </c>
      <c r="U414" s="21" t="inlineStr"/>
      <c r="V414" s="28" t="n"/>
      <c r="W414" s="21" t="inlineStr"/>
    </row>
    <row r="415" ht="20" customHeight="1">
      <c r="A415" s="9" t="n">
        <v>413</v>
      </c>
      <c r="B415" s="10" t="inlineStr">
        <is>
          <t>Студія кулінарних вражень</t>
        </is>
      </c>
      <c r="C415" s="10" t="inlineStr">
        <is>
          <t>Львів</t>
        </is>
      </c>
      <c r="D415" s="11" t="inlineStr"/>
      <c r="E415" s="11" t="inlineStr"/>
      <c r="F415" s="11" t="inlineStr"/>
      <c r="G415" s="13" t="inlineStr">
        <is>
          <t>📍</t>
        </is>
      </c>
      <c r="H415" s="11" t="inlineStr"/>
      <c r="I415" s="11" t="inlineStr"/>
      <c r="J415" s="40" t="inlineStr">
        <is>
          <t>🔥 Без сайту</t>
        </is>
      </c>
      <c r="K415" s="39" t="inlineStr">
        <is>
          <t>❌</t>
        </is>
      </c>
      <c r="L415" s="16" t="inlineStr">
        <is>
          <t>❌</t>
        </is>
      </c>
      <c r="M415" s="38" t="inlineStr">
        <is>
          <t>🟢 A</t>
        </is>
      </c>
      <c r="N415" s="10" t="inlineStr"/>
      <c r="O415" s="10" t="inlineStr"/>
      <c r="P415" s="11" t="inlineStr">
        <is>
          <t>—</t>
        </is>
      </c>
      <c r="Q415" s="11" t="inlineStr"/>
      <c r="R415" s="18" t="n"/>
      <c r="S415" s="11" t="inlineStr"/>
      <c r="T415" s="19" t="inlineStr">
        <is>
          <t>🟡 Новий</t>
        </is>
      </c>
      <c r="U415" s="10" t="inlineStr"/>
      <c r="V415" s="18" t="n"/>
      <c r="W415" s="10" t="inlineStr"/>
    </row>
    <row r="416" ht="20" customHeight="1">
      <c r="A416" s="20" t="n">
        <v>414</v>
      </c>
      <c r="B416" s="21" t="inlineStr">
        <is>
          <t>Стумарі</t>
        </is>
      </c>
      <c r="C416" s="21" t="inlineStr">
        <is>
          <t>Львів</t>
        </is>
      </c>
      <c r="D416" s="23" t="inlineStr"/>
      <c r="E416" s="23" t="inlineStr"/>
      <c r="F416" s="23" t="inlineStr"/>
      <c r="G416" s="25" t="inlineStr">
        <is>
          <t>📍</t>
        </is>
      </c>
      <c r="H416" s="23" t="inlineStr"/>
      <c r="I416" s="23" t="inlineStr"/>
      <c r="J416" s="40" t="inlineStr">
        <is>
          <t>🔥 Без сайту</t>
        </is>
      </c>
      <c r="K416" s="37" t="inlineStr">
        <is>
          <t>❌</t>
        </is>
      </c>
      <c r="L416" s="27" t="inlineStr">
        <is>
          <t>❌</t>
        </is>
      </c>
      <c r="M416" s="38" t="inlineStr">
        <is>
          <t>🟢 A</t>
        </is>
      </c>
      <c r="N416" s="21" t="inlineStr"/>
      <c r="O416" s="21" t="inlineStr"/>
      <c r="P416" s="23" t="inlineStr">
        <is>
          <t>—</t>
        </is>
      </c>
      <c r="Q416" s="23" t="inlineStr"/>
      <c r="R416" s="28" t="n"/>
      <c r="S416" s="23" t="inlineStr"/>
      <c r="T416" s="19" t="inlineStr">
        <is>
          <t>🟡 Новий</t>
        </is>
      </c>
      <c r="U416" s="21" t="inlineStr"/>
      <c r="V416" s="28" t="n"/>
      <c r="W416" s="21" t="inlineStr"/>
    </row>
    <row r="417" ht="20" customHeight="1">
      <c r="A417" s="9" t="n">
        <v>415</v>
      </c>
      <c r="B417" s="10" t="inlineStr">
        <is>
          <t>Суші Кінґ</t>
        </is>
      </c>
      <c r="C417" s="10" t="inlineStr">
        <is>
          <t>Львів</t>
        </is>
      </c>
      <c r="D417" s="33" t="inlineStr">
        <is>
          <t>+380939398488</t>
        </is>
      </c>
      <c r="E417" s="11" t="inlineStr"/>
      <c r="F417" s="11" t="inlineStr"/>
      <c r="G417" s="13" t="inlineStr">
        <is>
          <t>📍</t>
        </is>
      </c>
      <c r="H417" s="11" t="inlineStr"/>
      <c r="I417" s="11" t="inlineStr"/>
      <c r="J417" s="40" t="inlineStr">
        <is>
          <t>🔥 Без сайту</t>
        </is>
      </c>
      <c r="K417" s="39" t="inlineStr">
        <is>
          <t>❌</t>
        </is>
      </c>
      <c r="L417" s="16" t="inlineStr">
        <is>
          <t>❌</t>
        </is>
      </c>
      <c r="M417" s="38" t="inlineStr">
        <is>
          <t>🟢 A</t>
        </is>
      </c>
      <c r="N417" s="10" t="inlineStr"/>
      <c r="O417" s="10" t="inlineStr"/>
      <c r="P417" s="11" t="inlineStr">
        <is>
          <t>—</t>
        </is>
      </c>
      <c r="Q417" s="11" t="inlineStr"/>
      <c r="R417" s="18" t="n"/>
      <c r="S417" s="11" t="inlineStr"/>
      <c r="T417" s="19" t="inlineStr">
        <is>
          <t>🟡 Новий</t>
        </is>
      </c>
      <c r="U417" s="10" t="inlineStr"/>
      <c r="V417" s="18" t="n"/>
      <c r="W417" s="10" t="inlineStr"/>
    </row>
    <row r="418" ht="20" customHeight="1">
      <c r="A418" s="20" t="n">
        <v>416</v>
      </c>
      <c r="B418" s="21" t="inlineStr">
        <is>
          <t>Тартак</t>
        </is>
      </c>
      <c r="C418" s="21" t="inlineStr">
        <is>
          <t>Львів</t>
        </is>
      </c>
      <c r="D418" s="23" t="inlineStr"/>
      <c r="E418" s="23" t="inlineStr"/>
      <c r="F418" s="23" t="inlineStr"/>
      <c r="G418" s="25" t="inlineStr">
        <is>
          <t>📍</t>
        </is>
      </c>
      <c r="H418" s="23" t="inlineStr"/>
      <c r="I418" s="23" t="inlineStr"/>
      <c r="J418" s="40" t="inlineStr">
        <is>
          <t>🔥 Без сайту</t>
        </is>
      </c>
      <c r="K418" s="37" t="inlineStr">
        <is>
          <t>❌</t>
        </is>
      </c>
      <c r="L418" s="27" t="inlineStr">
        <is>
          <t>❌</t>
        </is>
      </c>
      <c r="M418" s="38" t="inlineStr">
        <is>
          <t>🟢 A</t>
        </is>
      </c>
      <c r="N418" s="21" t="inlineStr"/>
      <c r="O418" s="21" t="inlineStr"/>
      <c r="P418" s="23" t="inlineStr">
        <is>
          <t>—</t>
        </is>
      </c>
      <c r="Q418" s="23" t="inlineStr"/>
      <c r="R418" s="28" t="n"/>
      <c r="S418" s="23" t="inlineStr"/>
      <c r="T418" s="19" t="inlineStr">
        <is>
          <t>🟡 Новий</t>
        </is>
      </c>
      <c r="U418" s="21" t="inlineStr"/>
      <c r="V418" s="28" t="n"/>
      <c r="W418" s="21" t="inlineStr"/>
    </row>
    <row r="419" ht="20" customHeight="1">
      <c r="A419" s="9" t="n">
        <v>417</v>
      </c>
      <c r="B419" s="10" t="inlineStr">
        <is>
          <t>Тема</t>
        </is>
      </c>
      <c r="C419" s="10" t="inlineStr">
        <is>
          <t>вул. вулиця Михайла Драгана, 13, Львів</t>
        </is>
      </c>
      <c r="D419" s="11" t="inlineStr"/>
      <c r="E419" s="11" t="inlineStr"/>
      <c r="F419" s="11" t="inlineStr"/>
      <c r="G419" s="13" t="inlineStr">
        <is>
          <t>📍</t>
        </is>
      </c>
      <c r="H419" s="11" t="inlineStr"/>
      <c r="I419" s="11" t="inlineStr"/>
      <c r="J419" s="40" t="inlineStr">
        <is>
          <t>🔥 Без сайту</t>
        </is>
      </c>
      <c r="K419" s="39" t="inlineStr">
        <is>
          <t>❌</t>
        </is>
      </c>
      <c r="L419" s="16" t="inlineStr">
        <is>
          <t>❌</t>
        </is>
      </c>
      <c r="M419" s="38" t="inlineStr">
        <is>
          <t>🟢 A</t>
        </is>
      </c>
      <c r="N419" s="10" t="inlineStr"/>
      <c r="O419" s="10" t="inlineStr"/>
      <c r="P419" s="11" t="inlineStr">
        <is>
          <t>—</t>
        </is>
      </c>
      <c r="Q419" s="11" t="inlineStr"/>
      <c r="R419" s="18" t="n"/>
      <c r="S419" s="11" t="inlineStr"/>
      <c r="T419" s="19" t="inlineStr">
        <is>
          <t>🟡 Новий</t>
        </is>
      </c>
      <c r="U419" s="10" t="inlineStr"/>
      <c r="V419" s="18" t="n"/>
      <c r="W419" s="10" t="inlineStr"/>
    </row>
    <row r="420" ht="20" customHeight="1">
      <c r="A420" s="20" t="n">
        <v>418</v>
      </c>
      <c r="B420" s="21" t="inlineStr">
        <is>
          <t>Темп</t>
        </is>
      </c>
      <c r="C420" s="21" t="inlineStr">
        <is>
          <t>Львів</t>
        </is>
      </c>
      <c r="D420" s="23" t="inlineStr"/>
      <c r="E420" s="23" t="inlineStr"/>
      <c r="F420" s="23" t="inlineStr"/>
      <c r="G420" s="25" t="inlineStr">
        <is>
          <t>📍</t>
        </is>
      </c>
      <c r="H420" s="23" t="inlineStr"/>
      <c r="I420" s="23" t="inlineStr"/>
      <c r="J420" s="40" t="inlineStr">
        <is>
          <t>🔥 Без сайту</t>
        </is>
      </c>
      <c r="K420" s="37" t="inlineStr">
        <is>
          <t>❌</t>
        </is>
      </c>
      <c r="L420" s="27" t="inlineStr">
        <is>
          <t>❌</t>
        </is>
      </c>
      <c r="M420" s="38" t="inlineStr">
        <is>
          <t>🟢 A</t>
        </is>
      </c>
      <c r="N420" s="21" t="inlineStr"/>
      <c r="O420" s="21" t="inlineStr"/>
      <c r="P420" s="23" t="inlineStr">
        <is>
          <t>—</t>
        </is>
      </c>
      <c r="Q420" s="23" t="inlineStr"/>
      <c r="R420" s="28" t="n"/>
      <c r="S420" s="23" t="inlineStr"/>
      <c r="T420" s="19" t="inlineStr">
        <is>
          <t>🟡 Новий</t>
        </is>
      </c>
      <c r="U420" s="21" t="inlineStr"/>
      <c r="V420" s="28" t="n"/>
      <c r="W420" s="21" t="inlineStr"/>
    </row>
    <row r="421" ht="20" customHeight="1">
      <c r="A421" s="9" t="n">
        <v>419</v>
      </c>
      <c r="B421" s="10" t="inlineStr">
        <is>
          <t>Тобі</t>
        </is>
      </c>
      <c r="C421" s="10" t="inlineStr">
        <is>
          <t>Львів</t>
        </is>
      </c>
      <c r="D421" s="11" t="inlineStr"/>
      <c r="E421" s="11" t="inlineStr"/>
      <c r="F421" s="11" t="inlineStr"/>
      <c r="G421" s="13" t="inlineStr">
        <is>
          <t>📍</t>
        </is>
      </c>
      <c r="H421" s="11" t="inlineStr"/>
      <c r="I421" s="11" t="inlineStr"/>
      <c r="J421" s="40" t="inlineStr">
        <is>
          <t>🔥 Без сайту</t>
        </is>
      </c>
      <c r="K421" s="39" t="inlineStr">
        <is>
          <t>❌</t>
        </is>
      </c>
      <c r="L421" s="16" t="inlineStr">
        <is>
          <t>❌</t>
        </is>
      </c>
      <c r="M421" s="38" t="inlineStr">
        <is>
          <t>🟢 A</t>
        </is>
      </c>
      <c r="N421" s="10" t="inlineStr"/>
      <c r="O421" s="10" t="inlineStr"/>
      <c r="P421" s="11" t="inlineStr">
        <is>
          <t>—</t>
        </is>
      </c>
      <c r="Q421" s="11" t="inlineStr"/>
      <c r="R421" s="18" t="n"/>
      <c r="S421" s="11" t="inlineStr"/>
      <c r="T421" s="19" t="inlineStr">
        <is>
          <t>🟡 Новий</t>
        </is>
      </c>
      <c r="U421" s="10" t="inlineStr"/>
      <c r="V421" s="18" t="n"/>
      <c r="W421" s="10" t="inlineStr"/>
    </row>
    <row r="422" ht="20" customHeight="1">
      <c r="A422" s="20" t="n">
        <v>420</v>
      </c>
      <c r="B422" s="21" t="inlineStr">
        <is>
          <t>Трава</t>
        </is>
      </c>
      <c r="C422" s="21" t="inlineStr">
        <is>
          <t>Львів</t>
        </is>
      </c>
      <c r="D422" s="23" t="inlineStr"/>
      <c r="E422" s="23" t="inlineStr"/>
      <c r="F422" s="23" t="inlineStr"/>
      <c r="G422" s="25" t="inlineStr">
        <is>
          <t>📍</t>
        </is>
      </c>
      <c r="H422" s="23" t="inlineStr"/>
      <c r="I422" s="23" t="inlineStr"/>
      <c r="J422" s="40" t="inlineStr">
        <is>
          <t>🔥 Без сайту</t>
        </is>
      </c>
      <c r="K422" s="37" t="inlineStr">
        <is>
          <t>❌</t>
        </is>
      </c>
      <c r="L422" s="27" t="inlineStr">
        <is>
          <t>❌</t>
        </is>
      </c>
      <c r="M422" s="38" t="inlineStr">
        <is>
          <t>🟢 A</t>
        </is>
      </c>
      <c r="N422" s="21" t="inlineStr"/>
      <c r="O422" s="21" t="inlineStr"/>
      <c r="P422" s="23" t="inlineStr">
        <is>
          <t>—</t>
        </is>
      </c>
      <c r="Q422" s="23" t="inlineStr"/>
      <c r="R422" s="28" t="n"/>
      <c r="S422" s="23" t="inlineStr"/>
      <c r="T422" s="19" t="inlineStr">
        <is>
          <t>🟡 Новий</t>
        </is>
      </c>
      <c r="U422" s="21" t="inlineStr"/>
      <c r="V422" s="28" t="n"/>
      <c r="W422" s="21" t="inlineStr"/>
    </row>
    <row r="423" ht="20" customHeight="1">
      <c r="A423" s="9" t="n">
        <v>421</v>
      </c>
      <c r="B423" s="10" t="inlineStr">
        <is>
          <t>Травень</t>
        </is>
      </c>
      <c r="C423" s="10" t="inlineStr">
        <is>
          <t>Львів</t>
        </is>
      </c>
      <c r="D423" s="11" t="inlineStr"/>
      <c r="E423" s="11" t="inlineStr"/>
      <c r="F423" s="11" t="inlineStr"/>
      <c r="G423" s="13" t="inlineStr">
        <is>
          <t>📍</t>
        </is>
      </c>
      <c r="H423" s="11" t="inlineStr"/>
      <c r="I423" s="11" t="inlineStr"/>
      <c r="J423" s="40" t="inlineStr">
        <is>
          <t>🔥 Без сайту</t>
        </is>
      </c>
      <c r="K423" s="39" t="inlineStr">
        <is>
          <t>❌</t>
        </is>
      </c>
      <c r="L423" s="16" t="inlineStr">
        <is>
          <t>❌</t>
        </is>
      </c>
      <c r="M423" s="38" t="inlineStr">
        <is>
          <t>🟢 A</t>
        </is>
      </c>
      <c r="N423" s="10" t="inlineStr"/>
      <c r="O423" s="10" t="inlineStr"/>
      <c r="P423" s="11" t="inlineStr">
        <is>
          <t>—</t>
        </is>
      </c>
      <c r="Q423" s="11" t="inlineStr"/>
      <c r="R423" s="18" t="n"/>
      <c r="S423" s="11" t="inlineStr"/>
      <c r="T423" s="19" t="inlineStr">
        <is>
          <t>🟡 Новий</t>
        </is>
      </c>
      <c r="U423" s="10" t="inlineStr"/>
      <c r="V423" s="18" t="n"/>
      <c r="W423" s="10" t="inlineStr"/>
    </row>
    <row r="424" ht="20" customHeight="1">
      <c r="A424" s="20" t="n">
        <v>422</v>
      </c>
      <c r="B424" s="21" t="inlineStr">
        <is>
          <t>Трапезна УКУ</t>
        </is>
      </c>
      <c r="C424" s="21" t="inlineStr">
        <is>
          <t>вул. Козельницька вулиця, 2а, Львів</t>
        </is>
      </c>
      <c r="D424" s="23" t="inlineStr"/>
      <c r="E424" s="23" t="inlineStr"/>
      <c r="F424" s="23" t="inlineStr"/>
      <c r="G424" s="25" t="inlineStr">
        <is>
          <t>📍</t>
        </is>
      </c>
      <c r="H424" s="23" t="inlineStr"/>
      <c r="I424" s="23" t="inlineStr"/>
      <c r="J424" s="40" t="inlineStr">
        <is>
          <t>🔥 Без сайту</t>
        </is>
      </c>
      <c r="K424" s="37" t="inlineStr">
        <is>
          <t>❌</t>
        </is>
      </c>
      <c r="L424" s="27" t="inlineStr">
        <is>
          <t>❌</t>
        </is>
      </c>
      <c r="M424" s="38" t="inlineStr">
        <is>
          <t>🟢 A</t>
        </is>
      </c>
      <c r="N424" s="21" t="inlineStr"/>
      <c r="O424" s="21" t="inlineStr"/>
      <c r="P424" s="23" t="inlineStr">
        <is>
          <t>—</t>
        </is>
      </c>
      <c r="Q424" s="23" t="inlineStr"/>
      <c r="R424" s="28" t="n"/>
      <c r="S424" s="23" t="inlineStr"/>
      <c r="T424" s="19" t="inlineStr">
        <is>
          <t>🟡 Новий</t>
        </is>
      </c>
      <c r="U424" s="21" t="inlineStr"/>
      <c r="V424" s="28" t="n"/>
      <c r="W424" s="21" t="inlineStr"/>
    </row>
    <row r="425" ht="20" customHeight="1">
      <c r="A425" s="9" t="n">
        <v>423</v>
      </c>
      <c r="B425" s="10" t="inlineStr">
        <is>
          <t>Турка</t>
        </is>
      </c>
      <c r="C425" s="10" t="inlineStr">
        <is>
          <t>Львів</t>
        </is>
      </c>
      <c r="D425" s="11" t="inlineStr"/>
      <c r="E425" s="11" t="inlineStr"/>
      <c r="F425" s="11" t="inlineStr"/>
      <c r="G425" s="13" t="inlineStr">
        <is>
          <t>📍</t>
        </is>
      </c>
      <c r="H425" s="11" t="inlineStr"/>
      <c r="I425" s="11" t="inlineStr"/>
      <c r="J425" s="40" t="inlineStr">
        <is>
          <t>🔥 Без сайту</t>
        </is>
      </c>
      <c r="K425" s="39" t="inlineStr">
        <is>
          <t>❌</t>
        </is>
      </c>
      <c r="L425" s="16" t="inlineStr">
        <is>
          <t>❌</t>
        </is>
      </c>
      <c r="M425" s="38" t="inlineStr">
        <is>
          <t>🟢 A</t>
        </is>
      </c>
      <c r="N425" s="10" t="inlineStr"/>
      <c r="O425" s="10" t="inlineStr"/>
      <c r="P425" s="11" t="inlineStr">
        <is>
          <t>—</t>
        </is>
      </c>
      <c r="Q425" s="11" t="inlineStr"/>
      <c r="R425" s="18" t="n"/>
      <c r="S425" s="11" t="inlineStr"/>
      <c r="T425" s="19" t="inlineStr">
        <is>
          <t>🟡 Новий</t>
        </is>
      </c>
      <c r="U425" s="10" t="inlineStr"/>
      <c r="V425" s="18" t="n"/>
      <c r="W425" s="10" t="inlineStr"/>
    </row>
    <row r="426" ht="20" customHeight="1">
      <c r="A426" s="20" t="n">
        <v>424</v>
      </c>
      <c r="B426" s="21" t="inlineStr">
        <is>
          <t>У Ганусі</t>
        </is>
      </c>
      <c r="C426" s="21" t="inlineStr">
        <is>
          <t>Львів</t>
        </is>
      </c>
      <c r="D426" s="23" t="inlineStr"/>
      <c r="E426" s="23" t="inlineStr"/>
      <c r="F426" s="23" t="inlineStr"/>
      <c r="G426" s="25" t="inlineStr">
        <is>
          <t>📍</t>
        </is>
      </c>
      <c r="H426" s="23" t="inlineStr"/>
      <c r="I426" s="23" t="inlineStr"/>
      <c r="J426" s="40" t="inlineStr">
        <is>
          <t>🔥 Без сайту</t>
        </is>
      </c>
      <c r="K426" s="37" t="inlineStr">
        <is>
          <t>❌</t>
        </is>
      </c>
      <c r="L426" s="27" t="inlineStr">
        <is>
          <t>❌</t>
        </is>
      </c>
      <c r="M426" s="38" t="inlineStr">
        <is>
          <t>🟢 A</t>
        </is>
      </c>
      <c r="N426" s="21" t="inlineStr"/>
      <c r="O426" s="21" t="inlineStr"/>
      <c r="P426" s="23" t="inlineStr">
        <is>
          <t>—</t>
        </is>
      </c>
      <c r="Q426" s="23" t="inlineStr"/>
      <c r="R426" s="28" t="n"/>
      <c r="S426" s="23" t="inlineStr"/>
      <c r="T426" s="19" t="inlineStr">
        <is>
          <t>🟡 Новий</t>
        </is>
      </c>
      <c r="U426" s="21" t="inlineStr"/>
      <c r="V426" s="28" t="n"/>
      <c r="W426" s="21" t="inlineStr"/>
    </row>
    <row r="427" ht="20" customHeight="1">
      <c r="A427" s="9" t="n">
        <v>425</v>
      </c>
      <c r="B427" s="10" t="inlineStr">
        <is>
          <t>У Глинюка</t>
        </is>
      </c>
      <c r="C427" s="10" t="inlineStr">
        <is>
          <t>вул. Чигиринська вулиця, 24, Львів</t>
        </is>
      </c>
      <c r="D427" s="11" t="inlineStr"/>
      <c r="E427" s="11" t="inlineStr"/>
      <c r="F427" s="11" t="inlineStr"/>
      <c r="G427" s="13" t="inlineStr">
        <is>
          <t>📍</t>
        </is>
      </c>
      <c r="H427" s="11" t="inlineStr"/>
      <c r="I427" s="11" t="inlineStr"/>
      <c r="J427" s="40" t="inlineStr">
        <is>
          <t>🔥 Без сайту</t>
        </is>
      </c>
      <c r="K427" s="39" t="inlineStr">
        <is>
          <t>❌</t>
        </is>
      </c>
      <c r="L427" s="16" t="inlineStr">
        <is>
          <t>❌</t>
        </is>
      </c>
      <c r="M427" s="38" t="inlineStr">
        <is>
          <t>🟢 A</t>
        </is>
      </c>
      <c r="N427" s="10" t="inlineStr"/>
      <c r="O427" s="10" t="inlineStr"/>
      <c r="P427" s="11" t="inlineStr">
        <is>
          <t>—</t>
        </is>
      </c>
      <c r="Q427" s="11" t="inlineStr"/>
      <c r="R427" s="18" t="n"/>
      <c r="S427" s="11" t="inlineStr"/>
      <c r="T427" s="19" t="inlineStr">
        <is>
          <t>🟡 Новий</t>
        </is>
      </c>
      <c r="U427" s="10" t="inlineStr"/>
      <c r="V427" s="18" t="n"/>
      <c r="W427" s="10" t="inlineStr"/>
    </row>
    <row r="428" ht="20" customHeight="1">
      <c r="A428" s="20" t="n">
        <v>426</v>
      </c>
      <c r="B428" s="21" t="inlineStr">
        <is>
          <t>У пана Богдана</t>
        </is>
      </c>
      <c r="C428" s="21" t="inlineStr">
        <is>
          <t>Львів</t>
        </is>
      </c>
      <c r="D428" s="23" t="inlineStr"/>
      <c r="E428" s="23" t="inlineStr"/>
      <c r="F428" s="23" t="inlineStr"/>
      <c r="G428" s="25" t="inlineStr">
        <is>
          <t>📍</t>
        </is>
      </c>
      <c r="H428" s="23" t="inlineStr"/>
      <c r="I428" s="23" t="inlineStr"/>
      <c r="J428" s="40" t="inlineStr">
        <is>
          <t>🔥 Без сайту</t>
        </is>
      </c>
      <c r="K428" s="37" t="inlineStr">
        <is>
          <t>❌</t>
        </is>
      </c>
      <c r="L428" s="27" t="inlineStr">
        <is>
          <t>❌</t>
        </is>
      </c>
      <c r="M428" s="38" t="inlineStr">
        <is>
          <t>🟢 A</t>
        </is>
      </c>
      <c r="N428" s="21" t="inlineStr"/>
      <c r="O428" s="21" t="inlineStr"/>
      <c r="P428" s="23" t="inlineStr">
        <is>
          <t>—</t>
        </is>
      </c>
      <c r="Q428" s="23" t="inlineStr"/>
      <c r="R428" s="28" t="n"/>
      <c r="S428" s="23" t="inlineStr"/>
      <c r="T428" s="19" t="inlineStr">
        <is>
          <t>🟡 Новий</t>
        </is>
      </c>
      <c r="U428" s="21" t="inlineStr"/>
      <c r="V428" s="28" t="n"/>
      <c r="W428" s="21" t="inlineStr"/>
    </row>
    <row r="429" ht="20" customHeight="1">
      <c r="A429" s="9" t="n">
        <v>427</v>
      </c>
      <c r="B429" s="10" t="inlineStr">
        <is>
          <t>У старого бровара</t>
        </is>
      </c>
      <c r="C429" s="10" t="inlineStr">
        <is>
          <t>Львів</t>
        </is>
      </c>
      <c r="D429" s="11" t="inlineStr"/>
      <c r="E429" s="11" t="inlineStr"/>
      <c r="F429" s="11" t="inlineStr"/>
      <c r="G429" s="13" t="inlineStr">
        <is>
          <t>📍</t>
        </is>
      </c>
      <c r="H429" s="11" t="inlineStr"/>
      <c r="I429" s="11" t="inlineStr"/>
      <c r="J429" s="40" t="inlineStr">
        <is>
          <t>🔥 Без сайту</t>
        </is>
      </c>
      <c r="K429" s="39" t="inlineStr">
        <is>
          <t>❌</t>
        </is>
      </c>
      <c r="L429" s="16" t="inlineStr">
        <is>
          <t>❌</t>
        </is>
      </c>
      <c r="M429" s="38" t="inlineStr">
        <is>
          <t>🟢 A</t>
        </is>
      </c>
      <c r="N429" s="10" t="inlineStr"/>
      <c r="O429" s="10" t="inlineStr"/>
      <c r="P429" s="11" t="inlineStr">
        <is>
          <t>—</t>
        </is>
      </c>
      <c r="Q429" s="11" t="inlineStr"/>
      <c r="R429" s="18" t="n"/>
      <c r="S429" s="11" t="inlineStr"/>
      <c r="T429" s="19" t="inlineStr">
        <is>
          <t>🟡 Новий</t>
        </is>
      </c>
      <c r="U429" s="10" t="inlineStr"/>
      <c r="V429" s="18" t="n"/>
      <c r="W429" s="10" t="inlineStr"/>
    </row>
    <row r="430" ht="20" customHeight="1">
      <c r="A430" s="20" t="n">
        <v>428</v>
      </c>
      <c r="B430" s="21" t="inlineStr">
        <is>
          <t>УдонЧик</t>
        </is>
      </c>
      <c r="C430" s="21" t="inlineStr">
        <is>
          <t>Львів</t>
        </is>
      </c>
      <c r="D430" s="23" t="inlineStr"/>
      <c r="E430" s="23" t="inlineStr"/>
      <c r="F430" s="23" t="inlineStr"/>
      <c r="G430" s="25" t="inlineStr">
        <is>
          <t>📍</t>
        </is>
      </c>
      <c r="H430" s="23" t="inlineStr"/>
      <c r="I430" s="23" t="inlineStr"/>
      <c r="J430" s="40" t="inlineStr">
        <is>
          <t>🔥 Без сайту</t>
        </is>
      </c>
      <c r="K430" s="37" t="inlineStr">
        <is>
          <t>❌</t>
        </is>
      </c>
      <c r="L430" s="27" t="inlineStr">
        <is>
          <t>❌</t>
        </is>
      </c>
      <c r="M430" s="38" t="inlineStr">
        <is>
          <t>🟢 A</t>
        </is>
      </c>
      <c r="N430" s="21" t="inlineStr"/>
      <c r="O430" s="21" t="inlineStr"/>
      <c r="P430" s="23" t="inlineStr">
        <is>
          <t>—</t>
        </is>
      </c>
      <c r="Q430" s="23" t="inlineStr"/>
      <c r="R430" s="28" t="n"/>
      <c r="S430" s="23" t="inlineStr"/>
      <c r="T430" s="19" t="inlineStr">
        <is>
          <t>🟡 Новий</t>
        </is>
      </c>
      <c r="U430" s="21" t="inlineStr"/>
      <c r="V430" s="28" t="n"/>
      <c r="W430" s="21" t="inlineStr"/>
    </row>
    <row r="431" ht="20" customHeight="1">
      <c r="A431" s="9" t="n">
        <v>429</v>
      </c>
      <c r="B431" s="10" t="inlineStr">
        <is>
          <t>Український Дворик</t>
        </is>
      </c>
      <c r="C431" s="10" t="inlineStr">
        <is>
          <t>Львів</t>
        </is>
      </c>
      <c r="D431" s="11" t="inlineStr"/>
      <c r="E431" s="11" t="inlineStr"/>
      <c r="F431" s="11" t="inlineStr"/>
      <c r="G431" s="13" t="inlineStr">
        <is>
          <t>📍</t>
        </is>
      </c>
      <c r="H431" s="11" t="inlineStr"/>
      <c r="I431" s="11" t="inlineStr"/>
      <c r="J431" s="40" t="inlineStr">
        <is>
          <t>🔥 Без сайту</t>
        </is>
      </c>
      <c r="K431" s="39" t="inlineStr">
        <is>
          <t>❌</t>
        </is>
      </c>
      <c r="L431" s="16" t="inlineStr">
        <is>
          <t>❌</t>
        </is>
      </c>
      <c r="M431" s="38" t="inlineStr">
        <is>
          <t>🟢 A</t>
        </is>
      </c>
      <c r="N431" s="10" t="inlineStr"/>
      <c r="O431" s="10" t="inlineStr"/>
      <c r="P431" s="11" t="inlineStr">
        <is>
          <t>—</t>
        </is>
      </c>
      <c r="Q431" s="11" t="inlineStr"/>
      <c r="R431" s="18" t="n"/>
      <c r="S431" s="11" t="inlineStr"/>
      <c r="T431" s="19" t="inlineStr">
        <is>
          <t>🟡 Новий</t>
        </is>
      </c>
      <c r="U431" s="10" t="inlineStr"/>
      <c r="V431" s="18" t="n"/>
      <c r="W431" s="10" t="inlineStr"/>
    </row>
    <row r="432" ht="20" customHeight="1">
      <c r="A432" s="20" t="n">
        <v>430</v>
      </c>
      <c r="B432" s="21" t="inlineStr">
        <is>
          <t>Фамілія</t>
        </is>
      </c>
      <c r="C432" s="21" t="inlineStr">
        <is>
          <t>Львів</t>
        </is>
      </c>
      <c r="D432" s="23" t="inlineStr"/>
      <c r="E432" s="23" t="inlineStr"/>
      <c r="F432" s="23" t="inlineStr"/>
      <c r="G432" s="25" t="inlineStr">
        <is>
          <t>📍</t>
        </is>
      </c>
      <c r="H432" s="23" t="inlineStr"/>
      <c r="I432" s="23" t="inlineStr"/>
      <c r="J432" s="40" t="inlineStr">
        <is>
          <t>🔥 Без сайту</t>
        </is>
      </c>
      <c r="K432" s="37" t="inlineStr">
        <is>
          <t>❌</t>
        </is>
      </c>
      <c r="L432" s="27" t="inlineStr">
        <is>
          <t>❌</t>
        </is>
      </c>
      <c r="M432" s="38" t="inlineStr">
        <is>
          <t>🟢 A</t>
        </is>
      </c>
      <c r="N432" s="21" t="inlineStr"/>
      <c r="O432" s="21" t="inlineStr"/>
      <c r="P432" s="23" t="inlineStr">
        <is>
          <t>—</t>
        </is>
      </c>
      <c r="Q432" s="23" t="inlineStr"/>
      <c r="R432" s="28" t="n"/>
      <c r="S432" s="23" t="inlineStr"/>
      <c r="T432" s="19" t="inlineStr">
        <is>
          <t>🟡 Новий</t>
        </is>
      </c>
      <c r="U432" s="21" t="inlineStr"/>
      <c r="V432" s="28" t="n"/>
      <c r="W432" s="21" t="inlineStr"/>
    </row>
    <row r="433" ht="20" customHeight="1">
      <c r="A433" s="9" t="n">
        <v>431</v>
      </c>
      <c r="B433" s="10" t="inlineStr">
        <is>
          <t>Фелікітас</t>
        </is>
      </c>
      <c r="C433" s="10" t="inlineStr">
        <is>
          <t>Львів</t>
        </is>
      </c>
      <c r="D433" s="11" t="inlineStr"/>
      <c r="E433" s="11" t="inlineStr"/>
      <c r="F433" s="11" t="inlineStr"/>
      <c r="G433" s="13" t="inlineStr">
        <is>
          <t>📍</t>
        </is>
      </c>
      <c r="H433" s="11" t="inlineStr"/>
      <c r="I433" s="11" t="inlineStr"/>
      <c r="J433" s="40" t="inlineStr">
        <is>
          <t>🔥 Без сайту</t>
        </is>
      </c>
      <c r="K433" s="39" t="inlineStr">
        <is>
          <t>❌</t>
        </is>
      </c>
      <c r="L433" s="16" t="inlineStr">
        <is>
          <t>❌</t>
        </is>
      </c>
      <c r="M433" s="38" t="inlineStr">
        <is>
          <t>🟢 A</t>
        </is>
      </c>
      <c r="N433" s="10" t="inlineStr"/>
      <c r="O433" s="10" t="inlineStr"/>
      <c r="P433" s="11" t="inlineStr">
        <is>
          <t>—</t>
        </is>
      </c>
      <c r="Q433" s="11" t="inlineStr"/>
      <c r="R433" s="18" t="n"/>
      <c r="S433" s="11" t="inlineStr"/>
      <c r="T433" s="19" t="inlineStr">
        <is>
          <t>🟡 Новий</t>
        </is>
      </c>
      <c r="U433" s="10" t="inlineStr"/>
      <c r="V433" s="18" t="n"/>
      <c r="W433" s="10" t="inlineStr"/>
    </row>
    <row r="434" ht="20" customHeight="1">
      <c r="A434" s="20" t="n">
        <v>432</v>
      </c>
      <c r="B434" s="21" t="inlineStr">
        <is>
          <t>Фенікс</t>
        </is>
      </c>
      <c r="C434" s="21" t="inlineStr">
        <is>
          <t>Львів</t>
        </is>
      </c>
      <c r="D434" s="23" t="inlineStr"/>
      <c r="E434" s="23" t="inlineStr"/>
      <c r="F434" s="23" t="inlineStr"/>
      <c r="G434" s="25" t="inlineStr">
        <is>
          <t>📍</t>
        </is>
      </c>
      <c r="H434" s="23" t="inlineStr"/>
      <c r="I434" s="23" t="inlineStr"/>
      <c r="J434" s="40" t="inlineStr">
        <is>
          <t>🔥 Без сайту</t>
        </is>
      </c>
      <c r="K434" s="37" t="inlineStr">
        <is>
          <t>❌</t>
        </is>
      </c>
      <c r="L434" s="27" t="inlineStr">
        <is>
          <t>❌</t>
        </is>
      </c>
      <c r="M434" s="38" t="inlineStr">
        <is>
          <t>🟢 A</t>
        </is>
      </c>
      <c r="N434" s="21" t="inlineStr"/>
      <c r="O434" s="21" t="inlineStr"/>
      <c r="P434" s="23" t="inlineStr">
        <is>
          <t>—</t>
        </is>
      </c>
      <c r="Q434" s="23" t="inlineStr"/>
      <c r="R434" s="28" t="n"/>
      <c r="S434" s="23" t="inlineStr"/>
      <c r="T434" s="19" t="inlineStr">
        <is>
          <t>🟡 Новий</t>
        </is>
      </c>
      <c r="U434" s="21" t="inlineStr"/>
      <c r="V434" s="28" t="n"/>
      <c r="W434" s="21" t="inlineStr"/>
    </row>
    <row r="435" ht="20" customHeight="1">
      <c r="A435" s="9" t="n">
        <v>433</v>
      </c>
      <c r="B435" s="10" t="inlineStr">
        <is>
          <t>Фляшка Кляйна</t>
        </is>
      </c>
      <c r="C435" s="10" t="inlineStr">
        <is>
          <t>вул. проспект Свободи, 25, Львів</t>
        </is>
      </c>
      <c r="D435" s="11" t="inlineStr"/>
      <c r="E435" s="11" t="inlineStr"/>
      <c r="F435" s="11" t="inlineStr"/>
      <c r="G435" s="13" t="inlineStr">
        <is>
          <t>📍</t>
        </is>
      </c>
      <c r="H435" s="11" t="inlineStr"/>
      <c r="I435" s="11" t="inlineStr"/>
      <c r="J435" s="40" t="inlineStr">
        <is>
          <t>🔥 Без сайту</t>
        </is>
      </c>
      <c r="K435" s="39" t="inlineStr">
        <is>
          <t>❌</t>
        </is>
      </c>
      <c r="L435" s="16" t="inlineStr">
        <is>
          <t>❌</t>
        </is>
      </c>
      <c r="M435" s="38" t="inlineStr">
        <is>
          <t>🟢 A</t>
        </is>
      </c>
      <c r="N435" s="10" t="inlineStr"/>
      <c r="O435" s="10" t="inlineStr"/>
      <c r="P435" s="11" t="inlineStr">
        <is>
          <t>—</t>
        </is>
      </c>
      <c r="Q435" s="11" t="inlineStr"/>
      <c r="R435" s="18" t="n"/>
      <c r="S435" s="11" t="inlineStr"/>
      <c r="T435" s="19" t="inlineStr">
        <is>
          <t>🟡 Новий</t>
        </is>
      </c>
      <c r="U435" s="10" t="inlineStr"/>
      <c r="V435" s="18" t="n"/>
      <c r="W435" s="10" t="inlineStr"/>
    </row>
    <row r="436" ht="20" customHeight="1">
      <c r="A436" s="20" t="n">
        <v>434</v>
      </c>
      <c r="B436" s="21" t="inlineStr">
        <is>
          <t>Фортуна</t>
        </is>
      </c>
      <c r="C436" s="21" t="inlineStr">
        <is>
          <t>Львів</t>
        </is>
      </c>
      <c r="D436" s="23" t="inlineStr"/>
      <c r="E436" s="23" t="inlineStr"/>
      <c r="F436" s="23" t="inlineStr"/>
      <c r="G436" s="25" t="inlineStr">
        <is>
          <t>📍</t>
        </is>
      </c>
      <c r="H436" s="23" t="inlineStr"/>
      <c r="I436" s="23" t="inlineStr"/>
      <c r="J436" s="40" t="inlineStr">
        <is>
          <t>🔥 Без сайту</t>
        </is>
      </c>
      <c r="K436" s="37" t="inlineStr">
        <is>
          <t>❌</t>
        </is>
      </c>
      <c r="L436" s="27" t="inlineStr">
        <is>
          <t>❌</t>
        </is>
      </c>
      <c r="M436" s="38" t="inlineStr">
        <is>
          <t>🟢 A</t>
        </is>
      </c>
      <c r="N436" s="21" t="inlineStr"/>
      <c r="O436" s="21" t="inlineStr"/>
      <c r="P436" s="23" t="inlineStr">
        <is>
          <t>—</t>
        </is>
      </c>
      <c r="Q436" s="23" t="inlineStr"/>
      <c r="R436" s="28" t="n"/>
      <c r="S436" s="23" t="inlineStr"/>
      <c r="T436" s="19" t="inlineStr">
        <is>
          <t>🟡 Новий</t>
        </is>
      </c>
      <c r="U436" s="21" t="inlineStr"/>
      <c r="V436" s="28" t="n"/>
      <c r="W436" s="21" t="inlineStr"/>
    </row>
    <row r="437" ht="20" customHeight="1">
      <c r="A437" s="9" t="n">
        <v>435</v>
      </c>
      <c r="B437" s="10" t="inlineStr">
        <is>
          <t>Франс.уа</t>
        </is>
      </c>
      <c r="C437" s="10" t="inlineStr">
        <is>
          <t>Львів</t>
        </is>
      </c>
      <c r="D437" s="11" t="inlineStr"/>
      <c r="E437" s="11" t="inlineStr"/>
      <c r="F437" s="11" t="inlineStr"/>
      <c r="G437" s="13" t="inlineStr">
        <is>
          <t>📍</t>
        </is>
      </c>
      <c r="H437" s="11" t="inlineStr"/>
      <c r="I437" s="11" t="inlineStr"/>
      <c r="J437" s="40" t="inlineStr">
        <is>
          <t>🔥 Без сайту</t>
        </is>
      </c>
      <c r="K437" s="39" t="inlineStr">
        <is>
          <t>❌</t>
        </is>
      </c>
      <c r="L437" s="16" t="inlineStr">
        <is>
          <t>❌</t>
        </is>
      </c>
      <c r="M437" s="38" t="inlineStr">
        <is>
          <t>🟢 A</t>
        </is>
      </c>
      <c r="N437" s="10" t="inlineStr"/>
      <c r="O437" s="10" t="inlineStr"/>
      <c r="P437" s="11" t="inlineStr">
        <is>
          <t>—</t>
        </is>
      </c>
      <c r="Q437" s="11" t="inlineStr"/>
      <c r="R437" s="18" t="n"/>
      <c r="S437" s="11" t="inlineStr"/>
      <c r="T437" s="19" t="inlineStr">
        <is>
          <t>🟡 Новий</t>
        </is>
      </c>
      <c r="U437" s="10" t="inlineStr"/>
      <c r="V437" s="18" t="n"/>
      <c r="W437" s="10" t="inlineStr"/>
    </row>
    <row r="438" ht="20" customHeight="1">
      <c r="A438" s="20" t="n">
        <v>436</v>
      </c>
      <c r="B438" s="21" t="inlineStr">
        <is>
          <t>Франсуа</t>
        </is>
      </c>
      <c r="C438" s="21" t="inlineStr">
        <is>
          <t>Львів</t>
        </is>
      </c>
      <c r="D438" s="23" t="inlineStr"/>
      <c r="E438" s="23" t="inlineStr"/>
      <c r="F438" s="23" t="inlineStr"/>
      <c r="G438" s="25" t="inlineStr">
        <is>
          <t>📍</t>
        </is>
      </c>
      <c r="H438" s="23" t="inlineStr"/>
      <c r="I438" s="23" t="inlineStr"/>
      <c r="J438" s="40" t="inlineStr">
        <is>
          <t>🔥 Без сайту</t>
        </is>
      </c>
      <c r="K438" s="37" t="inlineStr">
        <is>
          <t>❌</t>
        </is>
      </c>
      <c r="L438" s="27" t="inlineStr">
        <is>
          <t>❌</t>
        </is>
      </c>
      <c r="M438" s="38" t="inlineStr">
        <is>
          <t>🟢 A</t>
        </is>
      </c>
      <c r="N438" s="21" t="inlineStr"/>
      <c r="O438" s="21" t="inlineStr"/>
      <c r="P438" s="23" t="inlineStr">
        <is>
          <t>—</t>
        </is>
      </c>
      <c r="Q438" s="23" t="inlineStr"/>
      <c r="R438" s="28" t="n"/>
      <c r="S438" s="23" t="inlineStr"/>
      <c r="T438" s="19" t="inlineStr">
        <is>
          <t>🟡 Новий</t>
        </is>
      </c>
      <c r="U438" s="21" t="inlineStr"/>
      <c r="V438" s="28" t="n"/>
      <c r="W438" s="21" t="inlineStr"/>
    </row>
    <row r="439" ht="20" customHeight="1">
      <c r="A439" s="9" t="n">
        <v>437</v>
      </c>
      <c r="B439" s="10" t="inlineStr">
        <is>
          <t>Французькі млинці</t>
        </is>
      </c>
      <c r="C439" s="10" t="inlineStr">
        <is>
          <t>Львів</t>
        </is>
      </c>
      <c r="D439" s="11" t="inlineStr"/>
      <c r="E439" s="11" t="inlineStr"/>
      <c r="F439" s="11" t="inlineStr"/>
      <c r="G439" s="13" t="inlineStr">
        <is>
          <t>📍</t>
        </is>
      </c>
      <c r="H439" s="11" t="inlineStr"/>
      <c r="I439" s="11" t="inlineStr"/>
      <c r="J439" s="40" t="inlineStr">
        <is>
          <t>🔥 Без сайту</t>
        </is>
      </c>
      <c r="K439" s="39" t="inlineStr">
        <is>
          <t>❌</t>
        </is>
      </c>
      <c r="L439" s="16" t="inlineStr">
        <is>
          <t>❌</t>
        </is>
      </c>
      <c r="M439" s="38" t="inlineStr">
        <is>
          <t>🟢 A</t>
        </is>
      </c>
      <c r="N439" s="10" t="inlineStr"/>
      <c r="O439" s="10" t="inlineStr"/>
      <c r="P439" s="11" t="inlineStr">
        <is>
          <t>—</t>
        </is>
      </c>
      <c r="Q439" s="11" t="inlineStr"/>
      <c r="R439" s="18" t="n"/>
      <c r="S439" s="11" t="inlineStr"/>
      <c r="T439" s="19" t="inlineStr">
        <is>
          <t>🟡 Новий</t>
        </is>
      </c>
      <c r="U439" s="10" t="inlineStr"/>
      <c r="V439" s="18" t="n"/>
      <c r="W439" s="10" t="inlineStr"/>
    </row>
    <row r="440" ht="20" customHeight="1">
      <c r="A440" s="20" t="n">
        <v>438</v>
      </c>
      <c r="B440" s="21" t="inlineStr">
        <is>
          <t>Фраєрка</t>
        </is>
      </c>
      <c r="C440" s="21" t="inlineStr">
        <is>
          <t>Львів</t>
        </is>
      </c>
      <c r="D440" s="23" t="inlineStr"/>
      <c r="E440" s="23" t="inlineStr"/>
      <c r="F440" s="23" t="inlineStr"/>
      <c r="G440" s="25" t="inlineStr">
        <is>
          <t>📍</t>
        </is>
      </c>
      <c r="H440" s="23" t="inlineStr"/>
      <c r="I440" s="23" t="inlineStr"/>
      <c r="J440" s="40" t="inlineStr">
        <is>
          <t>🔥 Без сайту</t>
        </is>
      </c>
      <c r="K440" s="37" t="inlineStr">
        <is>
          <t>❌</t>
        </is>
      </c>
      <c r="L440" s="27" t="inlineStr">
        <is>
          <t>❌</t>
        </is>
      </c>
      <c r="M440" s="38" t="inlineStr">
        <is>
          <t>🟢 A</t>
        </is>
      </c>
      <c r="N440" s="21" t="inlineStr"/>
      <c r="O440" s="21" t="inlineStr"/>
      <c r="P440" s="23" t="inlineStr">
        <is>
          <t>—</t>
        </is>
      </c>
      <c r="Q440" s="23" t="inlineStr"/>
      <c r="R440" s="28" t="n"/>
      <c r="S440" s="23" t="inlineStr"/>
      <c r="T440" s="19" t="inlineStr">
        <is>
          <t>🟡 Новий</t>
        </is>
      </c>
      <c r="U440" s="21" t="inlineStr"/>
      <c r="V440" s="28" t="n"/>
      <c r="W440" s="21" t="inlineStr"/>
    </row>
    <row r="441" ht="20" customHeight="1">
      <c r="A441" s="9" t="n">
        <v>439</v>
      </c>
      <c r="B441" s="10" t="inlineStr">
        <is>
          <t>Фреска</t>
        </is>
      </c>
      <c r="C441" s="10" t="inlineStr">
        <is>
          <t>вул. Арсенальська вулиця, Львів</t>
        </is>
      </c>
      <c r="D441" s="11" t="inlineStr"/>
      <c r="E441" s="11" t="inlineStr"/>
      <c r="F441" s="11" t="inlineStr"/>
      <c r="G441" s="13" t="inlineStr">
        <is>
          <t>📍</t>
        </is>
      </c>
      <c r="H441" s="11" t="inlineStr"/>
      <c r="I441" s="11" t="inlineStr"/>
      <c r="J441" s="40" t="inlineStr">
        <is>
          <t>🔥 Без сайту</t>
        </is>
      </c>
      <c r="K441" s="39" t="inlineStr">
        <is>
          <t>❌</t>
        </is>
      </c>
      <c r="L441" s="16" t="inlineStr">
        <is>
          <t>❌</t>
        </is>
      </c>
      <c r="M441" s="38" t="inlineStr">
        <is>
          <t>🟢 A</t>
        </is>
      </c>
      <c r="N441" s="10" t="inlineStr"/>
      <c r="O441" s="10" t="inlineStr"/>
      <c r="P441" s="11" t="inlineStr">
        <is>
          <t>—</t>
        </is>
      </c>
      <c r="Q441" s="11" t="inlineStr"/>
      <c r="R441" s="18" t="n"/>
      <c r="S441" s="11" t="inlineStr"/>
      <c r="T441" s="19" t="inlineStr">
        <is>
          <t>🟡 Новий</t>
        </is>
      </c>
      <c r="U441" s="10" t="inlineStr"/>
      <c r="V441" s="18" t="n"/>
      <c r="W441" s="10" t="inlineStr"/>
    </row>
    <row r="442" ht="20" customHeight="1">
      <c r="A442" s="20" t="n">
        <v>440</v>
      </c>
      <c r="B442" s="21" t="inlineStr">
        <is>
          <t>Фіксаж</t>
        </is>
      </c>
      <c r="C442" s="21" t="inlineStr">
        <is>
          <t>Львів</t>
        </is>
      </c>
      <c r="D442" s="22" t="inlineStr">
        <is>
          <t>+380 98 321 3464</t>
        </is>
      </c>
      <c r="E442" s="23" t="inlineStr"/>
      <c r="F442" s="23" t="inlineStr"/>
      <c r="G442" s="25" t="inlineStr">
        <is>
          <t>📍</t>
        </is>
      </c>
      <c r="H442" s="23" t="inlineStr"/>
      <c r="I442" s="23" t="inlineStr"/>
      <c r="J442" s="40" t="inlineStr">
        <is>
          <t>🔥 Без сайту</t>
        </is>
      </c>
      <c r="K442" s="37" t="inlineStr">
        <is>
          <t>❌</t>
        </is>
      </c>
      <c r="L442" s="27" t="inlineStr">
        <is>
          <t>❌</t>
        </is>
      </c>
      <c r="M442" s="38" t="inlineStr">
        <is>
          <t>🟢 A</t>
        </is>
      </c>
      <c r="N442" s="21" t="inlineStr"/>
      <c r="O442" s="21" t="inlineStr"/>
      <c r="P442" s="23" t="inlineStr">
        <is>
          <t>—</t>
        </is>
      </c>
      <c r="Q442" s="23" t="inlineStr"/>
      <c r="R442" s="28" t="n"/>
      <c r="S442" s="23" t="inlineStr"/>
      <c r="T442" s="19" t="inlineStr">
        <is>
          <t>🟡 Новий</t>
        </is>
      </c>
      <c r="U442" s="21" t="inlineStr"/>
      <c r="V442" s="28" t="n"/>
      <c r="W442" s="21" t="inlineStr"/>
    </row>
    <row r="443" ht="20" customHeight="1">
      <c r="A443" s="9" t="n">
        <v>441</v>
      </c>
      <c r="B443" s="10" t="inlineStr">
        <is>
          <t>Хантер</t>
        </is>
      </c>
      <c r="C443" s="10" t="inlineStr">
        <is>
          <t>Львів</t>
        </is>
      </c>
      <c r="D443" s="11" t="inlineStr"/>
      <c r="E443" s="11" t="inlineStr"/>
      <c r="F443" s="11" t="inlineStr"/>
      <c r="G443" s="13" t="inlineStr">
        <is>
          <t>📍</t>
        </is>
      </c>
      <c r="H443" s="11" t="inlineStr"/>
      <c r="I443" s="11" t="inlineStr"/>
      <c r="J443" s="40" t="inlineStr">
        <is>
          <t>🔥 Без сайту</t>
        </is>
      </c>
      <c r="K443" s="39" t="inlineStr">
        <is>
          <t>❌</t>
        </is>
      </c>
      <c r="L443" s="16" t="inlineStr">
        <is>
          <t>❌</t>
        </is>
      </c>
      <c r="M443" s="38" t="inlineStr">
        <is>
          <t>🟢 A</t>
        </is>
      </c>
      <c r="N443" s="10" t="inlineStr"/>
      <c r="O443" s="10" t="inlineStr"/>
      <c r="P443" s="11" t="inlineStr">
        <is>
          <t>—</t>
        </is>
      </c>
      <c r="Q443" s="11" t="inlineStr"/>
      <c r="R443" s="18" t="n"/>
      <c r="S443" s="11" t="inlineStr"/>
      <c r="T443" s="19" t="inlineStr">
        <is>
          <t>🟡 Новий</t>
        </is>
      </c>
      <c r="U443" s="10" t="inlineStr"/>
      <c r="V443" s="18" t="n"/>
      <c r="W443" s="10" t="inlineStr"/>
    </row>
    <row r="444" ht="20" customHeight="1">
      <c r="A444" s="20" t="n">
        <v>442</v>
      </c>
      <c r="B444" s="21" t="inlineStr">
        <is>
          <t>Харчування Харчування</t>
        </is>
      </c>
      <c r="C444" s="21" t="inlineStr">
        <is>
          <t>Львів</t>
        </is>
      </c>
      <c r="D444" s="23" t="inlineStr"/>
      <c r="E444" s="23" t="inlineStr"/>
      <c r="F444" s="23" t="inlineStr"/>
      <c r="G444" s="25" t="inlineStr">
        <is>
          <t>📍</t>
        </is>
      </c>
      <c r="H444" s="23" t="inlineStr"/>
      <c r="I444" s="23" t="inlineStr"/>
      <c r="J444" s="40" t="inlineStr">
        <is>
          <t>🔥 Без сайту</t>
        </is>
      </c>
      <c r="K444" s="37" t="inlineStr">
        <is>
          <t>❌</t>
        </is>
      </c>
      <c r="L444" s="27" t="inlineStr">
        <is>
          <t>❌</t>
        </is>
      </c>
      <c r="M444" s="38" t="inlineStr">
        <is>
          <t>🟢 A</t>
        </is>
      </c>
      <c r="N444" s="21" t="inlineStr"/>
      <c r="O444" s="21" t="inlineStr"/>
      <c r="P444" s="23" t="inlineStr">
        <is>
          <t>—</t>
        </is>
      </c>
      <c r="Q444" s="23" t="inlineStr"/>
      <c r="R444" s="28" t="n"/>
      <c r="S444" s="23" t="inlineStr"/>
      <c r="T444" s="19" t="inlineStr">
        <is>
          <t>🟡 Новий</t>
        </is>
      </c>
      <c r="U444" s="21" t="inlineStr"/>
      <c r="V444" s="28" t="n"/>
      <c r="W444" s="21" t="inlineStr"/>
    </row>
    <row r="445" ht="20" customHeight="1">
      <c r="A445" s="9" t="n">
        <v>443</v>
      </c>
      <c r="B445" s="10" t="inlineStr">
        <is>
          <t>Хліб з маслом</t>
        </is>
      </c>
      <c r="C445" s="10" t="inlineStr">
        <is>
          <t>Львів</t>
        </is>
      </c>
      <c r="D445" s="11" t="inlineStr"/>
      <c r="E445" s="11" t="inlineStr"/>
      <c r="F445" s="11" t="inlineStr"/>
      <c r="G445" s="13" t="inlineStr">
        <is>
          <t>📍</t>
        </is>
      </c>
      <c r="H445" s="11" t="inlineStr"/>
      <c r="I445" s="11" t="inlineStr"/>
      <c r="J445" s="40" t="inlineStr">
        <is>
          <t>🔥 Без сайту</t>
        </is>
      </c>
      <c r="K445" s="39" t="inlineStr">
        <is>
          <t>❌</t>
        </is>
      </c>
      <c r="L445" s="16" t="inlineStr">
        <is>
          <t>❌</t>
        </is>
      </c>
      <c r="M445" s="38" t="inlineStr">
        <is>
          <t>🟢 A</t>
        </is>
      </c>
      <c r="N445" s="10" t="inlineStr"/>
      <c r="O445" s="10" t="inlineStr"/>
      <c r="P445" s="11" t="inlineStr">
        <is>
          <t>—</t>
        </is>
      </c>
      <c r="Q445" s="11" t="inlineStr"/>
      <c r="R445" s="18" t="n"/>
      <c r="S445" s="11" t="inlineStr"/>
      <c r="T445" s="19" t="inlineStr">
        <is>
          <t>🟡 Новий</t>
        </is>
      </c>
      <c r="U445" s="10" t="inlineStr"/>
      <c r="V445" s="18" t="n"/>
      <c r="W445" s="10" t="inlineStr"/>
    </row>
    <row r="446" ht="20" customHeight="1">
      <c r="A446" s="20" t="n">
        <v>444</v>
      </c>
      <c r="B446" s="21" t="inlineStr">
        <is>
          <t>Хліб і Вино</t>
        </is>
      </c>
      <c r="C446" s="21" t="inlineStr">
        <is>
          <t>Львів</t>
        </is>
      </c>
      <c r="D446" s="23" t="inlineStr"/>
      <c r="E446" s="23" t="inlineStr"/>
      <c r="F446" s="23" t="inlineStr"/>
      <c r="G446" s="25" t="inlineStr">
        <is>
          <t>📍</t>
        </is>
      </c>
      <c r="H446" s="23" t="inlineStr"/>
      <c r="I446" s="23" t="inlineStr"/>
      <c r="J446" s="40" t="inlineStr">
        <is>
          <t>🔥 Без сайту</t>
        </is>
      </c>
      <c r="K446" s="37" t="inlineStr">
        <is>
          <t>❌</t>
        </is>
      </c>
      <c r="L446" s="27" t="inlineStr">
        <is>
          <t>❌</t>
        </is>
      </c>
      <c r="M446" s="38" t="inlineStr">
        <is>
          <t>🟢 A</t>
        </is>
      </c>
      <c r="N446" s="21" t="inlineStr"/>
      <c r="O446" s="21" t="inlineStr"/>
      <c r="P446" s="23" t="inlineStr">
        <is>
          <t>—</t>
        </is>
      </c>
      <c r="Q446" s="23" t="inlineStr"/>
      <c r="R446" s="28" t="n"/>
      <c r="S446" s="23" t="inlineStr"/>
      <c r="T446" s="19" t="inlineStr">
        <is>
          <t>🟡 Новий</t>
        </is>
      </c>
      <c r="U446" s="21" t="inlineStr"/>
      <c r="V446" s="28" t="n"/>
      <c r="W446" s="21" t="inlineStr"/>
    </row>
    <row r="447" ht="20" customHeight="1">
      <c r="A447" s="9" t="n">
        <v>445</v>
      </c>
      <c r="B447" s="10" t="inlineStr">
        <is>
          <t>Хутін-Пуйло</t>
        </is>
      </c>
      <c r="C447" s="10" t="inlineStr">
        <is>
          <t>Львів</t>
        </is>
      </c>
      <c r="D447" s="11" t="inlineStr"/>
      <c r="E447" s="11" t="inlineStr"/>
      <c r="F447" s="11" t="inlineStr"/>
      <c r="G447" s="13" t="inlineStr">
        <is>
          <t>📍</t>
        </is>
      </c>
      <c r="H447" s="11" t="inlineStr"/>
      <c r="I447" s="11" t="inlineStr"/>
      <c r="J447" s="40" t="inlineStr">
        <is>
          <t>🔥 Без сайту</t>
        </is>
      </c>
      <c r="K447" s="39" t="inlineStr">
        <is>
          <t>❌</t>
        </is>
      </c>
      <c r="L447" s="16" t="inlineStr">
        <is>
          <t>❌</t>
        </is>
      </c>
      <c r="M447" s="38" t="inlineStr">
        <is>
          <t>🟢 A</t>
        </is>
      </c>
      <c r="N447" s="10" t="inlineStr"/>
      <c r="O447" s="10" t="inlineStr"/>
      <c r="P447" s="11" t="inlineStr">
        <is>
          <t>—</t>
        </is>
      </c>
      <c r="Q447" s="11" t="inlineStr"/>
      <c r="R447" s="18" t="n"/>
      <c r="S447" s="11" t="inlineStr"/>
      <c r="T447" s="19" t="inlineStr">
        <is>
          <t>🟡 Новий</t>
        </is>
      </c>
      <c r="U447" s="10" t="inlineStr"/>
      <c r="V447" s="18" t="n"/>
      <c r="W447" s="10" t="inlineStr"/>
    </row>
    <row r="448" ht="20" customHeight="1">
      <c r="A448" s="20" t="n">
        <v>446</v>
      </c>
      <c r="B448" s="21" t="inlineStr">
        <is>
          <t>Цвібак</t>
        </is>
      </c>
      <c r="C448" s="21" t="inlineStr">
        <is>
          <t>Львів</t>
        </is>
      </c>
      <c r="D448" s="23" t="inlineStr"/>
      <c r="E448" s="23" t="inlineStr"/>
      <c r="F448" s="23" t="inlineStr"/>
      <c r="G448" s="25" t="inlineStr">
        <is>
          <t>📍</t>
        </is>
      </c>
      <c r="H448" s="23" t="inlineStr"/>
      <c r="I448" s="23" t="inlineStr"/>
      <c r="J448" s="40" t="inlineStr">
        <is>
          <t>🔥 Без сайту</t>
        </is>
      </c>
      <c r="K448" s="37" t="inlineStr">
        <is>
          <t>❌</t>
        </is>
      </c>
      <c r="L448" s="27" t="inlineStr">
        <is>
          <t>❌</t>
        </is>
      </c>
      <c r="M448" s="38" t="inlineStr">
        <is>
          <t>🟢 A</t>
        </is>
      </c>
      <c r="N448" s="21" t="inlineStr"/>
      <c r="O448" s="21" t="inlineStr"/>
      <c r="P448" s="23" t="inlineStr">
        <is>
          <t>—</t>
        </is>
      </c>
      <c r="Q448" s="23" t="inlineStr"/>
      <c r="R448" s="28" t="n"/>
      <c r="S448" s="23" t="inlineStr"/>
      <c r="T448" s="19" t="inlineStr">
        <is>
          <t>🟡 Новий</t>
        </is>
      </c>
      <c r="U448" s="21" t="inlineStr"/>
      <c r="V448" s="28" t="n"/>
      <c r="W448" s="21" t="inlineStr"/>
    </row>
    <row r="449" ht="20" customHeight="1">
      <c r="A449" s="9" t="n">
        <v>447</v>
      </c>
      <c r="B449" s="10" t="inlineStr">
        <is>
          <t>Цукерка</t>
        </is>
      </c>
      <c r="C449" s="10" t="inlineStr">
        <is>
          <t>Львів</t>
        </is>
      </c>
      <c r="D449" s="11" t="inlineStr"/>
      <c r="E449" s="11" t="inlineStr"/>
      <c r="F449" s="11" t="inlineStr"/>
      <c r="G449" s="13" t="inlineStr">
        <is>
          <t>📍</t>
        </is>
      </c>
      <c r="H449" s="11" t="inlineStr"/>
      <c r="I449" s="11" t="inlineStr"/>
      <c r="J449" s="40" t="inlineStr">
        <is>
          <t>🔥 Без сайту</t>
        </is>
      </c>
      <c r="K449" s="39" t="inlineStr">
        <is>
          <t>❌</t>
        </is>
      </c>
      <c r="L449" s="16" t="inlineStr">
        <is>
          <t>❌</t>
        </is>
      </c>
      <c r="M449" s="38" t="inlineStr">
        <is>
          <t>🟢 A</t>
        </is>
      </c>
      <c r="N449" s="10" t="inlineStr"/>
      <c r="O449" s="10" t="inlineStr"/>
      <c r="P449" s="11" t="inlineStr">
        <is>
          <t>—</t>
        </is>
      </c>
      <c r="Q449" s="11" t="inlineStr"/>
      <c r="R449" s="18" t="n"/>
      <c r="S449" s="11" t="inlineStr"/>
      <c r="T449" s="19" t="inlineStr">
        <is>
          <t>🟡 Новий</t>
        </is>
      </c>
      <c r="U449" s="10" t="inlineStr"/>
      <c r="V449" s="18" t="n"/>
      <c r="W449" s="10" t="inlineStr"/>
    </row>
    <row r="450" ht="20" customHeight="1">
      <c r="A450" s="20" t="n">
        <v>448</v>
      </c>
      <c r="B450" s="21" t="inlineStr">
        <is>
          <t>Цукор Black</t>
        </is>
      </c>
      <c r="C450" s="21" t="inlineStr">
        <is>
          <t>Львів</t>
        </is>
      </c>
      <c r="D450" s="23" t="inlineStr"/>
      <c r="E450" s="23" t="inlineStr"/>
      <c r="F450" s="23" t="inlineStr"/>
      <c r="G450" s="25" t="inlineStr">
        <is>
          <t>📍</t>
        </is>
      </c>
      <c r="H450" s="23" t="inlineStr"/>
      <c r="I450" s="23" t="inlineStr"/>
      <c r="J450" s="40" t="inlineStr">
        <is>
          <t>🔥 Без сайту</t>
        </is>
      </c>
      <c r="K450" s="37" t="inlineStr">
        <is>
          <t>❌</t>
        </is>
      </c>
      <c r="L450" s="27" t="inlineStr">
        <is>
          <t>❌</t>
        </is>
      </c>
      <c r="M450" s="38" t="inlineStr">
        <is>
          <t>🟢 A</t>
        </is>
      </c>
      <c r="N450" s="21" t="inlineStr"/>
      <c r="O450" s="21" t="inlineStr"/>
      <c r="P450" s="23" t="inlineStr">
        <is>
          <t>—</t>
        </is>
      </c>
      <c r="Q450" s="23" t="inlineStr"/>
      <c r="R450" s="28" t="n"/>
      <c r="S450" s="23" t="inlineStr"/>
      <c r="T450" s="19" t="inlineStr">
        <is>
          <t>🟡 Новий</t>
        </is>
      </c>
      <c r="U450" s="21" t="inlineStr"/>
      <c r="V450" s="28" t="n"/>
      <c r="W450" s="21" t="inlineStr"/>
    </row>
    <row r="451" ht="20" customHeight="1">
      <c r="A451" s="9" t="n">
        <v>449</v>
      </c>
      <c r="B451" s="10" t="inlineStr">
        <is>
          <t>Цукор Red</t>
        </is>
      </c>
      <c r="C451" s="10" t="inlineStr">
        <is>
          <t>Львів</t>
        </is>
      </c>
      <c r="D451" s="11" t="inlineStr"/>
      <c r="E451" s="11" t="inlineStr"/>
      <c r="F451" s="11" t="inlineStr"/>
      <c r="G451" s="13" t="inlineStr">
        <is>
          <t>📍</t>
        </is>
      </c>
      <c r="H451" s="11" t="inlineStr"/>
      <c r="I451" s="11" t="inlineStr"/>
      <c r="J451" s="40" t="inlineStr">
        <is>
          <t>🔥 Без сайту</t>
        </is>
      </c>
      <c r="K451" s="39" t="inlineStr">
        <is>
          <t>❌</t>
        </is>
      </c>
      <c r="L451" s="16" t="inlineStr">
        <is>
          <t>❌</t>
        </is>
      </c>
      <c r="M451" s="38" t="inlineStr">
        <is>
          <t>🟢 A</t>
        </is>
      </c>
      <c r="N451" s="10" t="inlineStr"/>
      <c r="O451" s="10" t="inlineStr"/>
      <c r="P451" s="11" t="inlineStr">
        <is>
          <t>—</t>
        </is>
      </c>
      <c r="Q451" s="11" t="inlineStr"/>
      <c r="R451" s="18" t="n"/>
      <c r="S451" s="11" t="inlineStr"/>
      <c r="T451" s="19" t="inlineStr">
        <is>
          <t>🟡 Новий</t>
        </is>
      </c>
      <c r="U451" s="10" t="inlineStr"/>
      <c r="V451" s="18" t="n"/>
      <c r="W451" s="10" t="inlineStr"/>
    </row>
    <row r="452" ht="20" customHeight="1">
      <c r="A452" s="20" t="n">
        <v>450</v>
      </c>
      <c r="B452" s="21" t="inlineStr">
        <is>
          <t>ЦіКава</t>
        </is>
      </c>
      <c r="C452" s="21" t="inlineStr">
        <is>
          <t>вул. вулиця Костя Левицького, 47, Львів</t>
        </is>
      </c>
      <c r="D452" s="23" t="inlineStr"/>
      <c r="E452" s="23" t="inlineStr"/>
      <c r="F452" s="23" t="inlineStr"/>
      <c r="G452" s="25" t="inlineStr">
        <is>
          <t>📍</t>
        </is>
      </c>
      <c r="H452" s="23" t="inlineStr"/>
      <c r="I452" s="23" t="inlineStr"/>
      <c r="J452" s="40" t="inlineStr">
        <is>
          <t>🔥 Без сайту</t>
        </is>
      </c>
      <c r="K452" s="37" t="inlineStr">
        <is>
          <t>❌</t>
        </is>
      </c>
      <c r="L452" s="27" t="inlineStr">
        <is>
          <t>❌</t>
        </is>
      </c>
      <c r="M452" s="38" t="inlineStr">
        <is>
          <t>🟢 A</t>
        </is>
      </c>
      <c r="N452" s="21" t="inlineStr"/>
      <c r="O452" s="21" t="inlineStr"/>
      <c r="P452" s="23" t="inlineStr">
        <is>
          <t>—</t>
        </is>
      </c>
      <c r="Q452" s="23" t="inlineStr"/>
      <c r="R452" s="28" t="n"/>
      <c r="S452" s="23" t="inlineStr"/>
      <c r="T452" s="19" t="inlineStr">
        <is>
          <t>🟡 Новий</t>
        </is>
      </c>
      <c r="U452" s="21" t="inlineStr"/>
      <c r="V452" s="28" t="n"/>
      <c r="W452" s="21" t="inlineStr"/>
    </row>
    <row r="453" ht="20" customHeight="1">
      <c r="A453" s="9" t="n">
        <v>451</v>
      </c>
      <c r="B453" s="10" t="inlineStr">
        <is>
          <t>Чао Фуршет</t>
        </is>
      </c>
      <c r="C453" s="10" t="inlineStr">
        <is>
          <t>Львів</t>
        </is>
      </c>
      <c r="D453" s="11" t="inlineStr"/>
      <c r="E453" s="11" t="inlineStr"/>
      <c r="F453" s="11" t="inlineStr"/>
      <c r="G453" s="13" t="inlineStr">
        <is>
          <t>📍</t>
        </is>
      </c>
      <c r="H453" s="11" t="inlineStr"/>
      <c r="I453" s="11" t="inlineStr"/>
      <c r="J453" s="40" t="inlineStr">
        <is>
          <t>🔥 Без сайту</t>
        </is>
      </c>
      <c r="K453" s="39" t="inlineStr">
        <is>
          <t>❌</t>
        </is>
      </c>
      <c r="L453" s="16" t="inlineStr">
        <is>
          <t>❌</t>
        </is>
      </c>
      <c r="M453" s="38" t="inlineStr">
        <is>
          <t>🟢 A</t>
        </is>
      </c>
      <c r="N453" s="10" t="inlineStr"/>
      <c r="O453" s="10" t="inlineStr"/>
      <c r="P453" s="11" t="inlineStr">
        <is>
          <t>—</t>
        </is>
      </c>
      <c r="Q453" s="11" t="inlineStr"/>
      <c r="R453" s="18" t="n"/>
      <c r="S453" s="11" t="inlineStr"/>
      <c r="T453" s="19" t="inlineStr">
        <is>
          <t>🟡 Новий</t>
        </is>
      </c>
      <c r="U453" s="10" t="inlineStr"/>
      <c r="V453" s="18" t="n"/>
      <c r="W453" s="10" t="inlineStr"/>
    </row>
    <row r="454" ht="20" customHeight="1">
      <c r="A454" s="20" t="n">
        <v>452</v>
      </c>
      <c r="B454" s="21" t="inlineStr">
        <is>
          <t>Час на каву</t>
        </is>
      </c>
      <c r="C454" s="21" t="inlineStr">
        <is>
          <t>Львів</t>
        </is>
      </c>
      <c r="D454" s="23" t="inlineStr"/>
      <c r="E454" s="23" t="inlineStr"/>
      <c r="F454" s="23" t="inlineStr"/>
      <c r="G454" s="25" t="inlineStr">
        <is>
          <t>📍</t>
        </is>
      </c>
      <c r="H454" s="23" t="inlineStr"/>
      <c r="I454" s="23" t="inlineStr"/>
      <c r="J454" s="40" t="inlineStr">
        <is>
          <t>🔥 Без сайту</t>
        </is>
      </c>
      <c r="K454" s="37" t="inlineStr">
        <is>
          <t>❌</t>
        </is>
      </c>
      <c r="L454" s="27" t="inlineStr">
        <is>
          <t>❌</t>
        </is>
      </c>
      <c r="M454" s="38" t="inlineStr">
        <is>
          <t>🟢 A</t>
        </is>
      </c>
      <c r="N454" s="21" t="inlineStr"/>
      <c r="O454" s="21" t="inlineStr"/>
      <c r="P454" s="23" t="inlineStr">
        <is>
          <t>—</t>
        </is>
      </c>
      <c r="Q454" s="23" t="inlineStr"/>
      <c r="R454" s="28" t="n"/>
      <c r="S454" s="23" t="inlineStr"/>
      <c r="T454" s="19" t="inlineStr">
        <is>
          <t>🟡 Новий</t>
        </is>
      </c>
      <c r="U454" s="21" t="inlineStr"/>
      <c r="V454" s="28" t="n"/>
      <c r="W454" s="21" t="inlineStr"/>
    </row>
    <row r="455" ht="20" customHeight="1">
      <c r="A455" s="9" t="n">
        <v>453</v>
      </c>
      <c r="B455" s="10" t="inlineStr">
        <is>
          <t>Час поїсти</t>
        </is>
      </c>
      <c r="C455" s="10" t="inlineStr">
        <is>
          <t>Львів</t>
        </is>
      </c>
      <c r="D455" s="11" t="inlineStr"/>
      <c r="E455" s="11" t="inlineStr"/>
      <c r="F455" s="11" t="inlineStr"/>
      <c r="G455" s="13" t="inlineStr">
        <is>
          <t>📍</t>
        </is>
      </c>
      <c r="H455" s="11" t="inlineStr"/>
      <c r="I455" s="11" t="inlineStr"/>
      <c r="J455" s="40" t="inlineStr">
        <is>
          <t>🔥 Без сайту</t>
        </is>
      </c>
      <c r="K455" s="39" t="inlineStr">
        <is>
          <t>❌</t>
        </is>
      </c>
      <c r="L455" s="16" t="inlineStr">
        <is>
          <t>❌</t>
        </is>
      </c>
      <c r="M455" s="38" t="inlineStr">
        <is>
          <t>🟢 A</t>
        </is>
      </c>
      <c r="N455" s="10" t="inlineStr"/>
      <c r="O455" s="10" t="inlineStr"/>
      <c r="P455" s="11" t="inlineStr">
        <is>
          <t>—</t>
        </is>
      </c>
      <c r="Q455" s="11" t="inlineStr"/>
      <c r="R455" s="18" t="n"/>
      <c r="S455" s="11" t="inlineStr"/>
      <c r="T455" s="19" t="inlineStr">
        <is>
          <t>🟡 Новий</t>
        </is>
      </c>
      <c r="U455" s="10" t="inlineStr"/>
      <c r="V455" s="18" t="n"/>
      <c r="W455" s="10" t="inlineStr"/>
    </row>
    <row r="456" ht="20" customHeight="1">
      <c r="A456" s="20" t="n">
        <v>454</v>
      </c>
      <c r="B456" s="21" t="inlineStr">
        <is>
          <t>Чебуреки</t>
        </is>
      </c>
      <c r="C456" s="21" t="inlineStr">
        <is>
          <t>Львів</t>
        </is>
      </c>
      <c r="D456" s="23" t="inlineStr"/>
      <c r="E456" s="23" t="inlineStr"/>
      <c r="F456" s="23" t="inlineStr"/>
      <c r="G456" s="25" t="inlineStr">
        <is>
          <t>📍</t>
        </is>
      </c>
      <c r="H456" s="23" t="inlineStr"/>
      <c r="I456" s="23" t="inlineStr"/>
      <c r="J456" s="40" t="inlineStr">
        <is>
          <t>🔥 Без сайту</t>
        </is>
      </c>
      <c r="K456" s="37" t="inlineStr">
        <is>
          <t>❌</t>
        </is>
      </c>
      <c r="L456" s="27" t="inlineStr">
        <is>
          <t>❌</t>
        </is>
      </c>
      <c r="M456" s="38" t="inlineStr">
        <is>
          <t>🟢 A</t>
        </is>
      </c>
      <c r="N456" s="21" t="inlineStr"/>
      <c r="O456" s="21" t="inlineStr"/>
      <c r="P456" s="23" t="inlineStr">
        <is>
          <t>—</t>
        </is>
      </c>
      <c r="Q456" s="23" t="inlineStr"/>
      <c r="R456" s="28" t="n"/>
      <c r="S456" s="23" t="inlineStr"/>
      <c r="T456" s="19" t="inlineStr">
        <is>
          <t>🟡 Новий</t>
        </is>
      </c>
      <c r="U456" s="21" t="inlineStr"/>
      <c r="V456" s="28" t="n"/>
      <c r="W456" s="21" t="inlineStr"/>
    </row>
    <row r="457" ht="20" customHeight="1">
      <c r="A457" s="9" t="n">
        <v>455</v>
      </c>
      <c r="B457" s="10" t="inlineStr">
        <is>
          <t>Чебуречна</t>
        </is>
      </c>
      <c r="C457" s="10" t="inlineStr">
        <is>
          <t>Львів</t>
        </is>
      </c>
      <c r="D457" s="11" t="inlineStr"/>
      <c r="E457" s="11" t="inlineStr"/>
      <c r="F457" s="11" t="inlineStr"/>
      <c r="G457" s="13" t="inlineStr">
        <is>
          <t>📍</t>
        </is>
      </c>
      <c r="H457" s="11" t="inlineStr"/>
      <c r="I457" s="11" t="inlineStr"/>
      <c r="J457" s="40" t="inlineStr">
        <is>
          <t>🔥 Без сайту</t>
        </is>
      </c>
      <c r="K457" s="39" t="inlineStr">
        <is>
          <t>❌</t>
        </is>
      </c>
      <c r="L457" s="16" t="inlineStr">
        <is>
          <t>❌</t>
        </is>
      </c>
      <c r="M457" s="38" t="inlineStr">
        <is>
          <t>🟢 A</t>
        </is>
      </c>
      <c r="N457" s="10" t="inlineStr"/>
      <c r="O457" s="10" t="inlineStr"/>
      <c r="P457" s="11" t="inlineStr">
        <is>
          <t>—</t>
        </is>
      </c>
      <c r="Q457" s="11" t="inlineStr"/>
      <c r="R457" s="18" t="n"/>
      <c r="S457" s="11" t="inlineStr"/>
      <c r="T457" s="19" t="inlineStr">
        <is>
          <t>🟡 Новий</t>
        </is>
      </c>
      <c r="U457" s="10" t="inlineStr"/>
      <c r="V457" s="18" t="n"/>
      <c r="W457" s="10" t="inlineStr"/>
    </row>
    <row r="458" ht="20" customHeight="1">
      <c r="A458" s="20" t="n">
        <v>456</v>
      </c>
      <c r="B458" s="21" t="inlineStr">
        <is>
          <t>Чек Ін</t>
        </is>
      </c>
      <c r="C458" s="21" t="inlineStr">
        <is>
          <t>Львів</t>
        </is>
      </c>
      <c r="D458" s="23" t="inlineStr"/>
      <c r="E458" s="23" t="inlineStr"/>
      <c r="F458" s="23" t="inlineStr"/>
      <c r="G458" s="25" t="inlineStr">
        <is>
          <t>📍</t>
        </is>
      </c>
      <c r="H458" s="23" t="inlineStr"/>
      <c r="I458" s="23" t="inlineStr"/>
      <c r="J458" s="40" t="inlineStr">
        <is>
          <t>🔥 Без сайту</t>
        </is>
      </c>
      <c r="K458" s="37" t="inlineStr">
        <is>
          <t>❌</t>
        </is>
      </c>
      <c r="L458" s="27" t="inlineStr">
        <is>
          <t>❌</t>
        </is>
      </c>
      <c r="M458" s="38" t="inlineStr">
        <is>
          <t>🟢 A</t>
        </is>
      </c>
      <c r="N458" s="21" t="inlineStr"/>
      <c r="O458" s="21" t="inlineStr"/>
      <c r="P458" s="23" t="inlineStr">
        <is>
          <t>—</t>
        </is>
      </c>
      <c r="Q458" s="23" t="inlineStr"/>
      <c r="R458" s="28" t="n"/>
      <c r="S458" s="23" t="inlineStr"/>
      <c r="T458" s="19" t="inlineStr">
        <is>
          <t>🟡 Новий</t>
        </is>
      </c>
      <c r="U458" s="21" t="inlineStr"/>
      <c r="V458" s="28" t="n"/>
      <c r="W458" s="21" t="inlineStr"/>
    </row>
    <row r="459" ht="20" customHeight="1">
      <c r="A459" s="9" t="n">
        <v>457</v>
      </c>
      <c r="B459" s="10" t="inlineStr">
        <is>
          <t>Челентано</t>
        </is>
      </c>
      <c r="C459" s="10" t="inlineStr">
        <is>
          <t>Львів</t>
        </is>
      </c>
      <c r="D459" s="11" t="inlineStr"/>
      <c r="E459" s="11" t="inlineStr"/>
      <c r="F459" s="11" t="inlineStr"/>
      <c r="G459" s="13" t="inlineStr">
        <is>
          <t>📍</t>
        </is>
      </c>
      <c r="H459" s="11" t="inlineStr"/>
      <c r="I459" s="11" t="inlineStr"/>
      <c r="J459" s="40" t="inlineStr">
        <is>
          <t>🔥 Без сайту</t>
        </is>
      </c>
      <c r="K459" s="39" t="inlineStr">
        <is>
          <t>❌</t>
        </is>
      </c>
      <c r="L459" s="16" t="inlineStr">
        <is>
          <t>❌</t>
        </is>
      </c>
      <c r="M459" s="38" t="inlineStr">
        <is>
          <t>🟢 A</t>
        </is>
      </c>
      <c r="N459" s="10" t="inlineStr"/>
      <c r="O459" s="10" t="inlineStr"/>
      <c r="P459" s="11" t="inlineStr">
        <is>
          <t>—</t>
        </is>
      </c>
      <c r="Q459" s="11" t="inlineStr"/>
      <c r="R459" s="18" t="n"/>
      <c r="S459" s="11" t="inlineStr"/>
      <c r="T459" s="19" t="inlineStr">
        <is>
          <t>🟡 Новий</t>
        </is>
      </c>
      <c r="U459" s="10" t="inlineStr"/>
      <c r="V459" s="18" t="n"/>
      <c r="W459" s="10" t="inlineStr"/>
    </row>
    <row r="460" ht="20" customHeight="1">
      <c r="A460" s="20" t="n">
        <v>458</v>
      </c>
      <c r="B460" s="21" t="inlineStr">
        <is>
          <t>Червона калина</t>
        </is>
      </c>
      <c r="C460" s="21" t="inlineStr">
        <is>
          <t>вул. вулиця Павла Ковжуна, 6, Львів</t>
        </is>
      </c>
      <c r="D460" s="23" t="inlineStr"/>
      <c r="E460" s="23" t="inlineStr"/>
      <c r="F460" s="23" t="inlineStr"/>
      <c r="G460" s="25" t="inlineStr">
        <is>
          <t>📍</t>
        </is>
      </c>
      <c r="H460" s="23" t="inlineStr"/>
      <c r="I460" s="23" t="inlineStr"/>
      <c r="J460" s="40" t="inlineStr">
        <is>
          <t>🔥 Без сайту</t>
        </is>
      </c>
      <c r="K460" s="37" t="inlineStr">
        <is>
          <t>❌</t>
        </is>
      </c>
      <c r="L460" s="27" t="inlineStr">
        <is>
          <t>❌</t>
        </is>
      </c>
      <c r="M460" s="38" t="inlineStr">
        <is>
          <t>🟢 A</t>
        </is>
      </c>
      <c r="N460" s="21" t="inlineStr"/>
      <c r="O460" s="21" t="inlineStr"/>
      <c r="P460" s="23" t="inlineStr">
        <is>
          <t>—</t>
        </is>
      </c>
      <c r="Q460" s="23" t="inlineStr"/>
      <c r="R460" s="28" t="n"/>
      <c r="S460" s="23" t="inlineStr"/>
      <c r="T460" s="19" t="inlineStr">
        <is>
          <t>🟡 Новий</t>
        </is>
      </c>
      <c r="U460" s="21" t="inlineStr"/>
      <c r="V460" s="28" t="n"/>
      <c r="W460" s="21" t="inlineStr"/>
    </row>
    <row r="461" ht="20" customHeight="1">
      <c r="A461" s="9" t="n">
        <v>459</v>
      </c>
      <c r="B461" s="10" t="inlineStr">
        <is>
          <t>Чорна кава</t>
        </is>
      </c>
      <c r="C461" s="10" t="inlineStr">
        <is>
          <t>Львів</t>
        </is>
      </c>
      <c r="D461" s="11" t="inlineStr"/>
      <c r="E461" s="11" t="inlineStr"/>
      <c r="F461" s="11" t="inlineStr"/>
      <c r="G461" s="13" t="inlineStr">
        <is>
          <t>📍</t>
        </is>
      </c>
      <c r="H461" s="11" t="inlineStr"/>
      <c r="I461" s="11" t="inlineStr"/>
      <c r="J461" s="40" t="inlineStr">
        <is>
          <t>🔥 Без сайту</t>
        </is>
      </c>
      <c r="K461" s="39" t="inlineStr">
        <is>
          <t>❌</t>
        </is>
      </c>
      <c r="L461" s="16" t="inlineStr">
        <is>
          <t>❌</t>
        </is>
      </c>
      <c r="M461" s="38" t="inlineStr">
        <is>
          <t>🟢 A</t>
        </is>
      </c>
      <c r="N461" s="10" t="inlineStr"/>
      <c r="O461" s="10" t="inlineStr"/>
      <c r="P461" s="11" t="inlineStr">
        <is>
          <t>—</t>
        </is>
      </c>
      <c r="Q461" s="11" t="inlineStr"/>
      <c r="R461" s="18" t="n"/>
      <c r="S461" s="11" t="inlineStr"/>
      <c r="T461" s="19" t="inlineStr">
        <is>
          <t>🟡 Новий</t>
        </is>
      </c>
      <c r="U461" s="10" t="inlineStr"/>
      <c r="V461" s="18" t="n"/>
      <c r="W461" s="10" t="inlineStr"/>
    </row>
    <row r="462" ht="20" customHeight="1">
      <c r="A462" s="20" t="n">
        <v>460</v>
      </c>
      <c r="B462" s="21" t="inlineStr">
        <is>
          <t>Шаян</t>
        </is>
      </c>
      <c r="C462" s="21" t="inlineStr">
        <is>
          <t>вул. Замарстинівська вулиця, 167-А, Львів</t>
        </is>
      </c>
      <c r="D462" s="22" t="inlineStr">
        <is>
          <t>+380 98 981 6207</t>
        </is>
      </c>
      <c r="E462" s="23" t="inlineStr"/>
      <c r="F462" s="23" t="inlineStr"/>
      <c r="G462" s="25" t="inlineStr">
        <is>
          <t>📍</t>
        </is>
      </c>
      <c r="H462" s="23" t="inlineStr"/>
      <c r="I462" s="23" t="inlineStr"/>
      <c r="J462" s="40" t="inlineStr">
        <is>
          <t>🔥 Без сайту</t>
        </is>
      </c>
      <c r="K462" s="37" t="inlineStr">
        <is>
          <t>❌</t>
        </is>
      </c>
      <c r="L462" s="27" t="inlineStr">
        <is>
          <t>❌</t>
        </is>
      </c>
      <c r="M462" s="38" t="inlineStr">
        <is>
          <t>🟢 A</t>
        </is>
      </c>
      <c r="N462" s="21" t="inlineStr"/>
      <c r="O462" s="21" t="inlineStr"/>
      <c r="P462" s="23" t="inlineStr">
        <is>
          <t>—</t>
        </is>
      </c>
      <c r="Q462" s="23" t="inlineStr"/>
      <c r="R462" s="28" t="n"/>
      <c r="S462" s="23" t="inlineStr"/>
      <c r="T462" s="19" t="inlineStr">
        <is>
          <t>🟡 Новий</t>
        </is>
      </c>
      <c r="U462" s="21" t="inlineStr"/>
      <c r="V462" s="28" t="n"/>
      <c r="W462" s="21" t="inlineStr"/>
    </row>
    <row r="463" ht="20" customHeight="1">
      <c r="A463" s="9" t="n">
        <v>461</v>
      </c>
      <c r="B463" s="10" t="inlineStr">
        <is>
          <t>Шоколад</t>
        </is>
      </c>
      <c r="C463" s="10" t="inlineStr">
        <is>
          <t>Львів</t>
        </is>
      </c>
      <c r="D463" s="11" t="inlineStr"/>
      <c r="E463" s="11" t="inlineStr"/>
      <c r="F463" s="11" t="inlineStr"/>
      <c r="G463" s="13" t="inlineStr">
        <is>
          <t>📍</t>
        </is>
      </c>
      <c r="H463" s="11" t="inlineStr"/>
      <c r="I463" s="11" t="inlineStr"/>
      <c r="J463" s="40" t="inlineStr">
        <is>
          <t>🔥 Без сайту</t>
        </is>
      </c>
      <c r="K463" s="39" t="inlineStr">
        <is>
          <t>❌</t>
        </is>
      </c>
      <c r="L463" s="16" t="inlineStr">
        <is>
          <t>❌</t>
        </is>
      </c>
      <c r="M463" s="38" t="inlineStr">
        <is>
          <t>🟢 A</t>
        </is>
      </c>
      <c r="N463" s="10" t="inlineStr"/>
      <c r="O463" s="10" t="inlineStr"/>
      <c r="P463" s="11" t="inlineStr">
        <is>
          <t>—</t>
        </is>
      </c>
      <c r="Q463" s="11" t="inlineStr"/>
      <c r="R463" s="18" t="n"/>
      <c r="S463" s="11" t="inlineStr"/>
      <c r="T463" s="19" t="inlineStr">
        <is>
          <t>🟡 Новий</t>
        </is>
      </c>
      <c r="U463" s="10" t="inlineStr"/>
      <c r="V463" s="18" t="n"/>
      <c r="W463" s="10" t="inlineStr"/>
    </row>
    <row r="464" ht="20" customHeight="1">
      <c r="A464" s="20" t="n">
        <v>462</v>
      </c>
      <c r="B464" s="21" t="inlineStr">
        <is>
          <t>Шоколадний бутік</t>
        </is>
      </c>
      <c r="C464" s="21" t="inlineStr">
        <is>
          <t>Львів</t>
        </is>
      </c>
      <c r="D464" s="23" t="inlineStr"/>
      <c r="E464" s="23" t="inlineStr"/>
      <c r="F464" s="23" t="inlineStr"/>
      <c r="G464" s="25" t="inlineStr">
        <is>
          <t>📍</t>
        </is>
      </c>
      <c r="H464" s="23" t="inlineStr"/>
      <c r="I464" s="23" t="inlineStr"/>
      <c r="J464" s="40" t="inlineStr">
        <is>
          <t>🔥 Без сайту</t>
        </is>
      </c>
      <c r="K464" s="37" t="inlineStr">
        <is>
          <t>❌</t>
        </is>
      </c>
      <c r="L464" s="27" t="inlineStr">
        <is>
          <t>❌</t>
        </is>
      </c>
      <c r="M464" s="38" t="inlineStr">
        <is>
          <t>🟢 A</t>
        </is>
      </c>
      <c r="N464" s="21" t="inlineStr"/>
      <c r="O464" s="21" t="inlineStr"/>
      <c r="P464" s="23" t="inlineStr">
        <is>
          <t>—</t>
        </is>
      </c>
      <c r="Q464" s="23" t="inlineStr"/>
      <c r="R464" s="28" t="n"/>
      <c r="S464" s="23" t="inlineStr"/>
      <c r="T464" s="19" t="inlineStr">
        <is>
          <t>🟡 Новий</t>
        </is>
      </c>
      <c r="U464" s="21" t="inlineStr"/>
      <c r="V464" s="28" t="n"/>
      <c r="W464" s="21" t="inlineStr"/>
    </row>
    <row r="465" ht="20" customHeight="1">
      <c r="A465" s="9" t="n">
        <v>463</v>
      </c>
      <c r="B465" s="10" t="inlineStr">
        <is>
          <t>Шоколадня</t>
        </is>
      </c>
      <c r="C465" s="10" t="inlineStr">
        <is>
          <t>Львів</t>
        </is>
      </c>
      <c r="D465" s="11" t="inlineStr"/>
      <c r="E465" s="11" t="inlineStr"/>
      <c r="F465" s="11" t="inlineStr"/>
      <c r="G465" s="13" t="inlineStr">
        <is>
          <t>📍</t>
        </is>
      </c>
      <c r="H465" s="11" t="inlineStr"/>
      <c r="I465" s="11" t="inlineStr"/>
      <c r="J465" s="40" t="inlineStr">
        <is>
          <t>🔥 Без сайту</t>
        </is>
      </c>
      <c r="K465" s="39" t="inlineStr">
        <is>
          <t>❌</t>
        </is>
      </c>
      <c r="L465" s="16" t="inlineStr">
        <is>
          <t>❌</t>
        </is>
      </c>
      <c r="M465" s="38" t="inlineStr">
        <is>
          <t>🟢 A</t>
        </is>
      </c>
      <c r="N465" s="10" t="inlineStr"/>
      <c r="O465" s="10" t="inlineStr"/>
      <c r="P465" s="11" t="inlineStr">
        <is>
          <t>—</t>
        </is>
      </c>
      <c r="Q465" s="11" t="inlineStr"/>
      <c r="R465" s="18" t="n"/>
      <c r="S465" s="11" t="inlineStr"/>
      <c r="T465" s="19" t="inlineStr">
        <is>
          <t>🟡 Новий</t>
        </is>
      </c>
      <c r="U465" s="10" t="inlineStr"/>
      <c r="V465" s="18" t="n"/>
      <c r="W465" s="10" t="inlineStr"/>
    </row>
    <row r="466" ht="20" customHeight="1">
      <c r="A466" s="20" t="n">
        <v>464</v>
      </c>
      <c r="B466" s="21" t="inlineStr">
        <is>
          <t>Штука</t>
        </is>
      </c>
      <c r="C466" s="21" t="inlineStr">
        <is>
          <t>Львів</t>
        </is>
      </c>
      <c r="D466" s="23" t="inlineStr"/>
      <c r="E466" s="23" t="inlineStr"/>
      <c r="F466" s="23" t="inlineStr"/>
      <c r="G466" s="25" t="inlineStr">
        <is>
          <t>📍</t>
        </is>
      </c>
      <c r="H466" s="23" t="inlineStr"/>
      <c r="I466" s="23" t="inlineStr"/>
      <c r="J466" s="40" t="inlineStr">
        <is>
          <t>🔥 Без сайту</t>
        </is>
      </c>
      <c r="K466" s="37" t="inlineStr">
        <is>
          <t>❌</t>
        </is>
      </c>
      <c r="L466" s="27" t="inlineStr">
        <is>
          <t>❌</t>
        </is>
      </c>
      <c r="M466" s="38" t="inlineStr">
        <is>
          <t>🟢 A</t>
        </is>
      </c>
      <c r="N466" s="21" t="inlineStr"/>
      <c r="O466" s="21" t="inlineStr"/>
      <c r="P466" s="23" t="inlineStr">
        <is>
          <t>—</t>
        </is>
      </c>
      <c r="Q466" s="23" t="inlineStr"/>
      <c r="R466" s="28" t="n"/>
      <c r="S466" s="23" t="inlineStr"/>
      <c r="T466" s="19" t="inlineStr">
        <is>
          <t>🟡 Новий</t>
        </is>
      </c>
      <c r="U466" s="21" t="inlineStr"/>
      <c r="V466" s="28" t="n"/>
      <c r="W466" s="21" t="inlineStr"/>
    </row>
    <row r="467" ht="20" customHeight="1">
      <c r="A467" s="9" t="n">
        <v>465</v>
      </c>
      <c r="B467" s="10" t="inlineStr">
        <is>
          <t>Щедрий горщик</t>
        </is>
      </c>
      <c r="C467" s="10" t="inlineStr">
        <is>
          <t>Львів</t>
        </is>
      </c>
      <c r="D467" s="11" t="inlineStr"/>
      <c r="E467" s="11" t="inlineStr"/>
      <c r="F467" s="11" t="inlineStr"/>
      <c r="G467" s="13" t="inlineStr">
        <is>
          <t>📍</t>
        </is>
      </c>
      <c r="H467" s="11" t="inlineStr"/>
      <c r="I467" s="11" t="inlineStr"/>
      <c r="J467" s="40" t="inlineStr">
        <is>
          <t>🔥 Без сайту</t>
        </is>
      </c>
      <c r="K467" s="39" t="inlineStr">
        <is>
          <t>❌</t>
        </is>
      </c>
      <c r="L467" s="16" t="inlineStr">
        <is>
          <t>❌</t>
        </is>
      </c>
      <c r="M467" s="38" t="inlineStr">
        <is>
          <t>🟢 A</t>
        </is>
      </c>
      <c r="N467" s="10" t="inlineStr"/>
      <c r="O467" s="10" t="inlineStr"/>
      <c r="P467" s="11" t="inlineStr">
        <is>
          <t>—</t>
        </is>
      </c>
      <c r="Q467" s="11" t="inlineStr"/>
      <c r="R467" s="18" t="n"/>
      <c r="S467" s="11" t="inlineStr"/>
      <c r="T467" s="19" t="inlineStr">
        <is>
          <t>🟡 Новий</t>
        </is>
      </c>
      <c r="U467" s="10" t="inlineStr"/>
      <c r="V467" s="18" t="n"/>
      <c r="W467" s="10" t="inlineStr"/>
    </row>
    <row r="468" ht="20" customHeight="1">
      <c r="A468" s="20" t="n">
        <v>466</v>
      </c>
      <c r="B468" s="21" t="inlineStr">
        <is>
          <t>Щось Цікаве</t>
        </is>
      </c>
      <c r="C468" s="21" t="inlineStr">
        <is>
          <t>Львів</t>
        </is>
      </c>
      <c r="D468" s="22" t="inlineStr">
        <is>
          <t>+380 67 676 7513</t>
        </is>
      </c>
      <c r="E468" s="23" t="inlineStr"/>
      <c r="F468" s="23" t="inlineStr"/>
      <c r="G468" s="25" t="inlineStr">
        <is>
          <t>📍</t>
        </is>
      </c>
      <c r="H468" s="23" t="inlineStr"/>
      <c r="I468" s="23" t="inlineStr"/>
      <c r="J468" s="40" t="inlineStr">
        <is>
          <t>🔥 Без сайту</t>
        </is>
      </c>
      <c r="K468" s="37" t="inlineStr">
        <is>
          <t>❌</t>
        </is>
      </c>
      <c r="L468" s="27" t="inlineStr">
        <is>
          <t>❌</t>
        </is>
      </c>
      <c r="M468" s="38" t="inlineStr">
        <is>
          <t>🟢 A</t>
        </is>
      </c>
      <c r="N468" s="21" t="inlineStr"/>
      <c r="O468" s="21" t="inlineStr"/>
      <c r="P468" s="23" t="inlineStr">
        <is>
          <t>—</t>
        </is>
      </c>
      <c r="Q468" s="23" t="inlineStr"/>
      <c r="R468" s="28" t="n"/>
      <c r="S468" s="23" t="inlineStr"/>
      <c r="T468" s="19" t="inlineStr">
        <is>
          <t>🟡 Новий</t>
        </is>
      </c>
      <c r="U468" s="21" t="inlineStr"/>
      <c r="V468" s="28" t="n"/>
      <c r="W468" s="21" t="inlineStr"/>
    </row>
    <row r="469" ht="20" customHeight="1">
      <c r="A469" s="9" t="n">
        <v>467</v>
      </c>
      <c r="B469" s="10" t="inlineStr">
        <is>
          <t>Юлія</t>
        </is>
      </c>
      <c r="C469" s="10" t="inlineStr">
        <is>
          <t>Львів</t>
        </is>
      </c>
      <c r="D469" s="11" t="inlineStr"/>
      <c r="E469" s="11" t="inlineStr"/>
      <c r="F469" s="11" t="inlineStr"/>
      <c r="G469" s="13" t="inlineStr">
        <is>
          <t>📍</t>
        </is>
      </c>
      <c r="H469" s="11" t="inlineStr"/>
      <c r="I469" s="11" t="inlineStr"/>
      <c r="J469" s="40" t="inlineStr">
        <is>
          <t>🔥 Без сайту</t>
        </is>
      </c>
      <c r="K469" s="39" t="inlineStr">
        <is>
          <t>❌</t>
        </is>
      </c>
      <c r="L469" s="16" t="inlineStr">
        <is>
          <t>❌</t>
        </is>
      </c>
      <c r="M469" s="38" t="inlineStr">
        <is>
          <t>🟢 A</t>
        </is>
      </c>
      <c r="N469" s="10" t="inlineStr"/>
      <c r="O469" s="10" t="inlineStr"/>
      <c r="P469" s="11" t="inlineStr">
        <is>
          <t>—</t>
        </is>
      </c>
      <c r="Q469" s="11" t="inlineStr"/>
      <c r="R469" s="18" t="n"/>
      <c r="S469" s="11" t="inlineStr"/>
      <c r="T469" s="19" t="inlineStr">
        <is>
          <t>🟡 Новий</t>
        </is>
      </c>
      <c r="U469" s="10" t="inlineStr"/>
      <c r="V469" s="18" t="n"/>
      <c r="W469" s="10" t="inlineStr"/>
    </row>
    <row r="470" ht="20" customHeight="1">
      <c r="A470" s="20" t="n">
        <v>468</v>
      </c>
      <c r="B470" s="21" t="inlineStr">
        <is>
          <t>Юрашки</t>
        </is>
      </c>
      <c r="C470" s="21" t="inlineStr">
        <is>
          <t>Львів</t>
        </is>
      </c>
      <c r="D470" s="23" t="inlineStr"/>
      <c r="E470" s="23" t="inlineStr"/>
      <c r="F470" s="23" t="inlineStr"/>
      <c r="G470" s="25" t="inlineStr">
        <is>
          <t>📍</t>
        </is>
      </c>
      <c r="H470" s="23" t="inlineStr"/>
      <c r="I470" s="23" t="inlineStr"/>
      <c r="J470" s="40" t="inlineStr">
        <is>
          <t>🔥 Без сайту</t>
        </is>
      </c>
      <c r="K470" s="37" t="inlineStr">
        <is>
          <t>❌</t>
        </is>
      </c>
      <c r="L470" s="27" t="inlineStr">
        <is>
          <t>❌</t>
        </is>
      </c>
      <c r="M470" s="38" t="inlineStr">
        <is>
          <t>🟢 A</t>
        </is>
      </c>
      <c r="N470" s="21" t="inlineStr"/>
      <c r="O470" s="21" t="inlineStr"/>
      <c r="P470" s="23" t="inlineStr">
        <is>
          <t>—</t>
        </is>
      </c>
      <c r="Q470" s="23" t="inlineStr"/>
      <c r="R470" s="28" t="n"/>
      <c r="S470" s="23" t="inlineStr"/>
      <c r="T470" s="19" t="inlineStr">
        <is>
          <t>🟡 Новий</t>
        </is>
      </c>
      <c r="U470" s="21" t="inlineStr"/>
      <c r="V470" s="28" t="n"/>
      <c r="W470" s="21" t="inlineStr"/>
    </row>
    <row r="471" ht="20" customHeight="1">
      <c r="A471" s="9" t="n">
        <v>469</v>
      </c>
      <c r="B471" s="10" t="inlineStr">
        <is>
          <t>Я Love кебаб</t>
        </is>
      </c>
      <c r="C471" s="10" t="inlineStr">
        <is>
          <t>Львів</t>
        </is>
      </c>
      <c r="D471" s="11" t="inlineStr"/>
      <c r="E471" s="11" t="inlineStr"/>
      <c r="F471" s="11" t="inlineStr"/>
      <c r="G471" s="13" t="inlineStr">
        <is>
          <t>📍</t>
        </is>
      </c>
      <c r="H471" s="11" t="inlineStr"/>
      <c r="I471" s="11" t="inlineStr"/>
      <c r="J471" s="40" t="inlineStr">
        <is>
          <t>🔥 Без сайту</t>
        </is>
      </c>
      <c r="K471" s="39" t="inlineStr">
        <is>
          <t>❌</t>
        </is>
      </c>
      <c r="L471" s="16" t="inlineStr">
        <is>
          <t>❌</t>
        </is>
      </c>
      <c r="M471" s="38" t="inlineStr">
        <is>
          <t>🟢 A</t>
        </is>
      </c>
      <c r="N471" s="10" t="inlineStr"/>
      <c r="O471" s="10" t="inlineStr"/>
      <c r="P471" s="11" t="inlineStr">
        <is>
          <t>—</t>
        </is>
      </c>
      <c r="Q471" s="11" t="inlineStr"/>
      <c r="R471" s="18" t="n"/>
      <c r="S471" s="11" t="inlineStr"/>
      <c r="T471" s="19" t="inlineStr">
        <is>
          <t>🟡 Новий</t>
        </is>
      </c>
      <c r="U471" s="10" t="inlineStr"/>
      <c r="V471" s="18" t="n"/>
      <c r="W471" s="10" t="inlineStr"/>
    </row>
    <row r="472" ht="20" customHeight="1">
      <c r="A472" s="20" t="n">
        <v>470</v>
      </c>
      <c r="B472" s="21" t="inlineStr">
        <is>
          <t>Я love kebab</t>
        </is>
      </c>
      <c r="C472" s="21" t="inlineStr">
        <is>
          <t>Львів</t>
        </is>
      </c>
      <c r="D472" s="23" t="inlineStr"/>
      <c r="E472" s="23" t="inlineStr"/>
      <c r="F472" s="23" t="inlineStr"/>
      <c r="G472" s="25" t="inlineStr">
        <is>
          <t>📍</t>
        </is>
      </c>
      <c r="H472" s="23" t="inlineStr"/>
      <c r="I472" s="23" t="inlineStr"/>
      <c r="J472" s="40" t="inlineStr">
        <is>
          <t>🔥 Без сайту</t>
        </is>
      </c>
      <c r="K472" s="37" t="inlineStr">
        <is>
          <t>❌</t>
        </is>
      </c>
      <c r="L472" s="27" t="inlineStr">
        <is>
          <t>❌</t>
        </is>
      </c>
      <c r="M472" s="38" t="inlineStr">
        <is>
          <t>🟢 A</t>
        </is>
      </c>
      <c r="N472" s="21" t="inlineStr"/>
      <c r="O472" s="21" t="inlineStr"/>
      <c r="P472" s="23" t="inlineStr">
        <is>
          <t>—</t>
        </is>
      </c>
      <c r="Q472" s="23" t="inlineStr"/>
      <c r="R472" s="28" t="n"/>
      <c r="S472" s="23" t="inlineStr"/>
      <c r="T472" s="19" t="inlineStr">
        <is>
          <t>🟡 Новий</t>
        </is>
      </c>
      <c r="U472" s="21" t="inlineStr"/>
      <c r="V472" s="28" t="n"/>
      <c r="W472" s="21" t="inlineStr"/>
    </row>
    <row r="473" ht="20" customHeight="1">
      <c r="A473" s="9" t="n">
        <v>471</v>
      </c>
      <c r="B473" s="10" t="inlineStr">
        <is>
          <t>Я Кебаб</t>
        </is>
      </c>
      <c r="C473" s="10" t="inlineStr">
        <is>
          <t>Львів</t>
        </is>
      </c>
      <c r="D473" s="11" t="inlineStr"/>
      <c r="E473" s="11" t="inlineStr"/>
      <c r="F473" s="11" t="inlineStr"/>
      <c r="G473" s="13" t="inlineStr">
        <is>
          <t>📍</t>
        </is>
      </c>
      <c r="H473" s="11" t="inlineStr"/>
      <c r="I473" s="11" t="inlineStr"/>
      <c r="J473" s="40" t="inlineStr">
        <is>
          <t>🔥 Без сайту</t>
        </is>
      </c>
      <c r="K473" s="39" t="inlineStr">
        <is>
          <t>❌</t>
        </is>
      </c>
      <c r="L473" s="16" t="inlineStr">
        <is>
          <t>❌</t>
        </is>
      </c>
      <c r="M473" s="38" t="inlineStr">
        <is>
          <t>🟢 A</t>
        </is>
      </c>
      <c r="N473" s="10" t="inlineStr"/>
      <c r="O473" s="10" t="inlineStr"/>
      <c r="P473" s="11" t="inlineStr">
        <is>
          <t>—</t>
        </is>
      </c>
      <c r="Q473" s="11" t="inlineStr"/>
      <c r="R473" s="18" t="n"/>
      <c r="S473" s="11" t="inlineStr"/>
      <c r="T473" s="19" t="inlineStr">
        <is>
          <t>🟡 Новий</t>
        </is>
      </c>
      <c r="U473" s="10" t="inlineStr"/>
      <c r="V473" s="18" t="n"/>
      <c r="W473" s="10" t="inlineStr"/>
    </row>
    <row r="474" ht="20" customHeight="1">
      <c r="A474" s="20" t="n">
        <v>472</v>
      </c>
      <c r="B474" s="21" t="inlineStr">
        <is>
          <t>Я це кава</t>
        </is>
      </c>
      <c r="C474" s="21" t="inlineStr">
        <is>
          <t>Львів</t>
        </is>
      </c>
      <c r="D474" s="23" t="inlineStr"/>
      <c r="E474" s="23" t="inlineStr"/>
      <c r="F474" s="23" t="inlineStr"/>
      <c r="G474" s="25" t="inlineStr">
        <is>
          <t>📍</t>
        </is>
      </c>
      <c r="H474" s="23" t="inlineStr"/>
      <c r="I474" s="23" t="inlineStr"/>
      <c r="J474" s="40" t="inlineStr">
        <is>
          <t>🔥 Без сайту</t>
        </is>
      </c>
      <c r="K474" s="37" t="inlineStr">
        <is>
          <t>❌</t>
        </is>
      </c>
      <c r="L474" s="27" t="inlineStr">
        <is>
          <t>❌</t>
        </is>
      </c>
      <c r="M474" s="38" t="inlineStr">
        <is>
          <t>🟢 A</t>
        </is>
      </c>
      <c r="N474" s="21" t="inlineStr"/>
      <c r="O474" s="21" t="inlineStr"/>
      <c r="P474" s="23" t="inlineStr">
        <is>
          <t>—</t>
        </is>
      </c>
      <c r="Q474" s="23" t="inlineStr"/>
      <c r="R474" s="28" t="n"/>
      <c r="S474" s="23" t="inlineStr"/>
      <c r="T474" s="19" t="inlineStr">
        <is>
          <t>🟡 Новий</t>
        </is>
      </c>
      <c r="U474" s="21" t="inlineStr"/>
      <c r="V474" s="28" t="n"/>
      <c r="W474" s="21" t="inlineStr"/>
    </row>
    <row r="475" ht="20" customHeight="1">
      <c r="A475" s="9" t="n">
        <v>473</v>
      </c>
      <c r="B475" s="10" t="inlineStr">
        <is>
          <t>Я ❤️ КЕБАБ</t>
        </is>
      </c>
      <c r="C475" s="10" t="inlineStr">
        <is>
          <t>Львів</t>
        </is>
      </c>
      <c r="D475" s="11" t="inlineStr"/>
      <c r="E475" s="11" t="inlineStr"/>
      <c r="F475" s="11" t="inlineStr"/>
      <c r="G475" s="13" t="inlineStr">
        <is>
          <t>📍</t>
        </is>
      </c>
      <c r="H475" s="11" t="inlineStr"/>
      <c r="I475" s="11" t="inlineStr"/>
      <c r="J475" s="40" t="inlineStr">
        <is>
          <t>🔥 Без сайту</t>
        </is>
      </c>
      <c r="K475" s="39" t="inlineStr">
        <is>
          <t>❌</t>
        </is>
      </c>
      <c r="L475" s="16" t="inlineStr">
        <is>
          <t>❌</t>
        </is>
      </c>
      <c r="M475" s="38" t="inlineStr">
        <is>
          <t>🟢 A</t>
        </is>
      </c>
      <c r="N475" s="10" t="inlineStr"/>
      <c r="O475" s="10" t="inlineStr"/>
      <c r="P475" s="11" t="inlineStr">
        <is>
          <t>—</t>
        </is>
      </c>
      <c r="Q475" s="11" t="inlineStr"/>
      <c r="R475" s="18" t="n"/>
      <c r="S475" s="11" t="inlineStr"/>
      <c r="T475" s="19" t="inlineStr">
        <is>
          <t>🟡 Новий</t>
        </is>
      </c>
      <c r="U475" s="10" t="inlineStr"/>
      <c r="V475" s="18" t="n"/>
      <c r="W475" s="10" t="inlineStr"/>
    </row>
    <row r="476" ht="20" customHeight="1">
      <c r="A476" s="20" t="n">
        <v>474</v>
      </c>
      <c r="B476" s="21" t="inlineStr">
        <is>
          <t>Явір</t>
        </is>
      </c>
      <c r="C476" s="21" t="inlineStr">
        <is>
          <t>Львів</t>
        </is>
      </c>
      <c r="D476" s="23" t="inlineStr"/>
      <c r="E476" s="23" t="inlineStr"/>
      <c r="F476" s="23" t="inlineStr"/>
      <c r="G476" s="25" t="inlineStr">
        <is>
          <t>📍</t>
        </is>
      </c>
      <c r="H476" s="23" t="inlineStr"/>
      <c r="I476" s="23" t="inlineStr"/>
      <c r="J476" s="40" t="inlineStr">
        <is>
          <t>🔥 Без сайту</t>
        </is>
      </c>
      <c r="K476" s="37" t="inlineStr">
        <is>
          <t>❌</t>
        </is>
      </c>
      <c r="L476" s="27" t="inlineStr">
        <is>
          <t>❌</t>
        </is>
      </c>
      <c r="M476" s="38" t="inlineStr">
        <is>
          <t>🟢 A</t>
        </is>
      </c>
      <c r="N476" s="21" t="inlineStr"/>
      <c r="O476" s="21" t="inlineStr"/>
      <c r="P476" s="23" t="inlineStr">
        <is>
          <t>—</t>
        </is>
      </c>
      <c r="Q476" s="23" t="inlineStr"/>
      <c r="R476" s="28" t="n"/>
      <c r="S476" s="23" t="inlineStr"/>
      <c r="T476" s="19" t="inlineStr">
        <is>
          <t>🟡 Новий</t>
        </is>
      </c>
      <c r="U476" s="21" t="inlineStr"/>
      <c r="V476" s="28" t="n"/>
      <c r="W476" s="21" t="inlineStr"/>
    </row>
    <row r="477" ht="20" customHeight="1">
      <c r="A477" s="9" t="n">
        <v>475</v>
      </c>
      <c r="B477" s="10" t="inlineStr">
        <is>
          <t>вулиця Богдана Хмельницького 4</t>
        </is>
      </c>
      <c r="C477" s="10" t="inlineStr">
        <is>
          <t>вул. вулиця Богдана Хмельницького, 4, Львів</t>
        </is>
      </c>
      <c r="D477" s="11" t="inlineStr"/>
      <c r="E477" s="11" t="inlineStr"/>
      <c r="F477" s="11" t="inlineStr"/>
      <c r="G477" s="13" t="inlineStr">
        <is>
          <t>📍</t>
        </is>
      </c>
      <c r="H477" s="11" t="inlineStr"/>
      <c r="I477" s="11" t="inlineStr"/>
      <c r="J477" s="40" t="inlineStr">
        <is>
          <t>🔥 Без сайту</t>
        </is>
      </c>
      <c r="K477" s="39" t="inlineStr">
        <is>
          <t>❌</t>
        </is>
      </c>
      <c r="L477" s="16" t="inlineStr">
        <is>
          <t>❌</t>
        </is>
      </c>
      <c r="M477" s="38" t="inlineStr">
        <is>
          <t>🟢 A</t>
        </is>
      </c>
      <c r="N477" s="10" t="inlineStr"/>
      <c r="O477" s="10" t="inlineStr"/>
      <c r="P477" s="11" t="inlineStr">
        <is>
          <t>—</t>
        </is>
      </c>
      <c r="Q477" s="11" t="inlineStr"/>
      <c r="R477" s="18" t="n"/>
      <c r="S477" s="11" t="inlineStr"/>
      <c r="T477" s="19" t="inlineStr">
        <is>
          <t>🟡 Новий</t>
        </is>
      </c>
      <c r="U477" s="10" t="inlineStr"/>
      <c r="V477" s="18" t="n"/>
      <c r="W477" s="10" t="inlineStr"/>
    </row>
  </sheetData>
  <autoFilter ref="A2:W477"/>
  <mergeCells count="4">
    <mergeCell ref="J1:P1"/>
    <mergeCell ref="B1:I1"/>
    <mergeCell ref="A1"/>
    <mergeCell ref="Q1:W1"/>
  </mergeCells>
  <dataValidations count="9">
    <dataValidation sqref="J3:J977" showDropDown="0" showInputMessage="0" showErrorMessage="0" allowBlank="1" type="list">
      <formula1>"🔥 Без сайту,📸 Instagram тільки,🌐 Є сайт,🌐+📸 Сайт і IG"</formula1>
    </dataValidation>
    <dataValidation sqref="K3:K977" showDropDown="0" showInputMessage="0" showErrorMessage="0" allowBlank="1" type="list">
      <formula1>"✅,❌"</formula1>
    </dataValidation>
    <dataValidation sqref="L3:L977" showDropDown="0" showInputMessage="0" showErrorMessage="0" allowBlank="1" type="list">
      <formula1>"✅,❌"</formula1>
    </dataValidation>
    <dataValidation sqref="M3:M977" showDropDown="0" showInputMessage="0" showErrorMessage="0" allowBlank="1" type="list">
      <formula1>"🟢 A,🟡 B,⚪ C"</formula1>
    </dataValidation>
    <dataValidation sqref="N3:N977" showDropDown="0" showInputMessage="0" showErrorMessage="0" allowBlank="1" type="list">
      <formula1>"Немає сайту,Є тільки Instagram,Сайт застарілий,Погано на телефоні,Немає меню онлайн,Немає бронювання,Немає англійської,Немає соцмереж"</formula1>
    </dataValidation>
    <dataValidation sqref="O3:O977" showDropDown="0" showInputMessage="0" showErrorMessage="0" allowBlank="1" type="list">
      <formula1>"Direct в Instagram,Дзвінок,Особистий візит,Telegram,Email"</formula1>
    </dataValidation>
    <dataValidation sqref="P3:P977" showDropDown="0" showInputMessage="0" showErrorMessage="0" allowBlank="1" type="list">
      <formula1>"1,2,3,4,5,6,7,8,9,10,—"</formula1>
    </dataValidation>
    <dataValidation sqref="S3:S977" showDropDown="0" showInputMessage="0" showErrorMessage="0" allowBlank="1" type="list">
      <formula1>"Вживу,По телефону,Instagram Direct,Telegram,Email"</formula1>
    </dataValidation>
    <dataValidation sqref="T3:T977" showDropDown="0" showInputMessage="0" showErrorMessage="0" allowBlank="1" type="list">
      <formula1>"🟡 Новий,🔵 Домовляємось,🟣 Презентація,🟠 Думає,🟢 Продано,🔴 Відмовився"</formula1>
    </dataValidation>
  </dataValidations>
  <hyperlinks>
    <hyperlink xmlns:r="http://schemas.openxmlformats.org/officeDocument/2006/relationships" ref="F3" r:id="rId1"/>
    <hyperlink xmlns:r="http://schemas.openxmlformats.org/officeDocument/2006/relationships" ref="G3" r:id="rId2"/>
    <hyperlink xmlns:r="http://schemas.openxmlformats.org/officeDocument/2006/relationships" ref="D4" r:id="rId3"/>
    <hyperlink xmlns:r="http://schemas.openxmlformats.org/officeDocument/2006/relationships" ref="F4" r:id="rId4"/>
    <hyperlink xmlns:r="http://schemas.openxmlformats.org/officeDocument/2006/relationships" ref="G4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D6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F7" r:id="rId11"/>
    <hyperlink xmlns:r="http://schemas.openxmlformats.org/officeDocument/2006/relationships" ref="G7" r:id="rId12"/>
    <hyperlink xmlns:r="http://schemas.openxmlformats.org/officeDocument/2006/relationships" ref="D8" r:id="rId13"/>
    <hyperlink xmlns:r="http://schemas.openxmlformats.org/officeDocument/2006/relationships" ref="F8" r:id="rId14"/>
    <hyperlink xmlns:r="http://schemas.openxmlformats.org/officeDocument/2006/relationships" ref="G8" r:id="rId15"/>
    <hyperlink xmlns:r="http://schemas.openxmlformats.org/officeDocument/2006/relationships" ref="F9" r:id="rId16"/>
    <hyperlink xmlns:r="http://schemas.openxmlformats.org/officeDocument/2006/relationships" ref="G9" r:id="rId17"/>
    <hyperlink xmlns:r="http://schemas.openxmlformats.org/officeDocument/2006/relationships" ref="E10" r:id="rId18"/>
    <hyperlink xmlns:r="http://schemas.openxmlformats.org/officeDocument/2006/relationships" ref="F10" r:id="rId19"/>
    <hyperlink xmlns:r="http://schemas.openxmlformats.org/officeDocument/2006/relationships" ref="G10" r:id="rId20"/>
    <hyperlink xmlns:r="http://schemas.openxmlformats.org/officeDocument/2006/relationships" ref="D11" r:id="rId21"/>
    <hyperlink xmlns:r="http://schemas.openxmlformats.org/officeDocument/2006/relationships" ref="F11" r:id="rId22"/>
    <hyperlink xmlns:r="http://schemas.openxmlformats.org/officeDocument/2006/relationships" ref="G11" r:id="rId23"/>
    <hyperlink xmlns:r="http://schemas.openxmlformats.org/officeDocument/2006/relationships" ref="D12" r:id="rId24"/>
    <hyperlink xmlns:r="http://schemas.openxmlformats.org/officeDocument/2006/relationships" ref="F12" r:id="rId25"/>
    <hyperlink xmlns:r="http://schemas.openxmlformats.org/officeDocument/2006/relationships" ref="G12" r:id="rId26"/>
    <hyperlink xmlns:r="http://schemas.openxmlformats.org/officeDocument/2006/relationships" ref="D13" r:id="rId27"/>
    <hyperlink xmlns:r="http://schemas.openxmlformats.org/officeDocument/2006/relationships" ref="F13" r:id="rId28"/>
    <hyperlink xmlns:r="http://schemas.openxmlformats.org/officeDocument/2006/relationships" ref="G13" r:id="rId29"/>
    <hyperlink xmlns:r="http://schemas.openxmlformats.org/officeDocument/2006/relationships" ref="D14" r:id="rId30"/>
    <hyperlink xmlns:r="http://schemas.openxmlformats.org/officeDocument/2006/relationships" ref="F14" r:id="rId31"/>
    <hyperlink xmlns:r="http://schemas.openxmlformats.org/officeDocument/2006/relationships" ref="G14" r:id="rId32"/>
    <hyperlink xmlns:r="http://schemas.openxmlformats.org/officeDocument/2006/relationships" ref="D15" r:id="rId33"/>
    <hyperlink xmlns:r="http://schemas.openxmlformats.org/officeDocument/2006/relationships" ref="F15" r:id="rId34"/>
    <hyperlink xmlns:r="http://schemas.openxmlformats.org/officeDocument/2006/relationships" ref="G15" r:id="rId35"/>
    <hyperlink xmlns:r="http://schemas.openxmlformats.org/officeDocument/2006/relationships" ref="D16" r:id="rId36"/>
    <hyperlink xmlns:r="http://schemas.openxmlformats.org/officeDocument/2006/relationships" ref="E16" r:id="rId37"/>
    <hyperlink xmlns:r="http://schemas.openxmlformats.org/officeDocument/2006/relationships" ref="F16" r:id="rId38"/>
    <hyperlink xmlns:r="http://schemas.openxmlformats.org/officeDocument/2006/relationships" ref="G16" r:id="rId39"/>
    <hyperlink xmlns:r="http://schemas.openxmlformats.org/officeDocument/2006/relationships" ref="D17" r:id="rId40"/>
    <hyperlink xmlns:r="http://schemas.openxmlformats.org/officeDocument/2006/relationships" ref="F17" r:id="rId41"/>
    <hyperlink xmlns:r="http://schemas.openxmlformats.org/officeDocument/2006/relationships" ref="G17" r:id="rId42"/>
    <hyperlink xmlns:r="http://schemas.openxmlformats.org/officeDocument/2006/relationships" ref="D18" r:id="rId43"/>
    <hyperlink xmlns:r="http://schemas.openxmlformats.org/officeDocument/2006/relationships" ref="F18" r:id="rId44"/>
    <hyperlink xmlns:r="http://schemas.openxmlformats.org/officeDocument/2006/relationships" ref="G18" r:id="rId45"/>
    <hyperlink xmlns:r="http://schemas.openxmlformats.org/officeDocument/2006/relationships" ref="D19" r:id="rId46"/>
    <hyperlink xmlns:r="http://schemas.openxmlformats.org/officeDocument/2006/relationships" ref="F19" r:id="rId47"/>
    <hyperlink xmlns:r="http://schemas.openxmlformats.org/officeDocument/2006/relationships" ref="G19" r:id="rId48"/>
    <hyperlink xmlns:r="http://schemas.openxmlformats.org/officeDocument/2006/relationships" ref="F20" r:id="rId49"/>
    <hyperlink xmlns:r="http://schemas.openxmlformats.org/officeDocument/2006/relationships" ref="G20" r:id="rId50"/>
    <hyperlink xmlns:r="http://schemas.openxmlformats.org/officeDocument/2006/relationships" ref="F21" r:id="rId51"/>
    <hyperlink xmlns:r="http://schemas.openxmlformats.org/officeDocument/2006/relationships" ref="G21" r:id="rId52"/>
    <hyperlink xmlns:r="http://schemas.openxmlformats.org/officeDocument/2006/relationships" ref="F22" r:id="rId53"/>
    <hyperlink xmlns:r="http://schemas.openxmlformats.org/officeDocument/2006/relationships" ref="G22" r:id="rId54"/>
    <hyperlink xmlns:r="http://schemas.openxmlformats.org/officeDocument/2006/relationships" ref="D23" r:id="rId55"/>
    <hyperlink xmlns:r="http://schemas.openxmlformats.org/officeDocument/2006/relationships" ref="F23" r:id="rId56"/>
    <hyperlink xmlns:r="http://schemas.openxmlformats.org/officeDocument/2006/relationships" ref="G23" r:id="rId57"/>
    <hyperlink xmlns:r="http://schemas.openxmlformats.org/officeDocument/2006/relationships" ref="F24" r:id="rId58"/>
    <hyperlink xmlns:r="http://schemas.openxmlformats.org/officeDocument/2006/relationships" ref="G24" r:id="rId59"/>
    <hyperlink xmlns:r="http://schemas.openxmlformats.org/officeDocument/2006/relationships" ref="F25" r:id="rId60"/>
    <hyperlink xmlns:r="http://schemas.openxmlformats.org/officeDocument/2006/relationships" ref="G25" r:id="rId61"/>
    <hyperlink xmlns:r="http://schemas.openxmlformats.org/officeDocument/2006/relationships" ref="D26" r:id="rId62"/>
    <hyperlink xmlns:r="http://schemas.openxmlformats.org/officeDocument/2006/relationships" ref="F26" r:id="rId63"/>
    <hyperlink xmlns:r="http://schemas.openxmlformats.org/officeDocument/2006/relationships" ref="G26" r:id="rId64"/>
    <hyperlink xmlns:r="http://schemas.openxmlformats.org/officeDocument/2006/relationships" ref="F27" r:id="rId65"/>
    <hyperlink xmlns:r="http://schemas.openxmlformats.org/officeDocument/2006/relationships" ref="G27" r:id="rId66"/>
    <hyperlink xmlns:r="http://schemas.openxmlformats.org/officeDocument/2006/relationships" ref="D28" r:id="rId67"/>
    <hyperlink xmlns:r="http://schemas.openxmlformats.org/officeDocument/2006/relationships" ref="F28" r:id="rId68"/>
    <hyperlink xmlns:r="http://schemas.openxmlformats.org/officeDocument/2006/relationships" ref="G28" r:id="rId69"/>
    <hyperlink xmlns:r="http://schemas.openxmlformats.org/officeDocument/2006/relationships" ref="D29" r:id="rId70"/>
    <hyperlink xmlns:r="http://schemas.openxmlformats.org/officeDocument/2006/relationships" ref="E29" r:id="rId71"/>
    <hyperlink xmlns:r="http://schemas.openxmlformats.org/officeDocument/2006/relationships" ref="F29" r:id="rId72"/>
    <hyperlink xmlns:r="http://schemas.openxmlformats.org/officeDocument/2006/relationships" ref="G29" r:id="rId73"/>
    <hyperlink xmlns:r="http://schemas.openxmlformats.org/officeDocument/2006/relationships" ref="E30" r:id="rId74"/>
    <hyperlink xmlns:r="http://schemas.openxmlformats.org/officeDocument/2006/relationships" ref="F30" r:id="rId75"/>
    <hyperlink xmlns:r="http://schemas.openxmlformats.org/officeDocument/2006/relationships" ref="G30" r:id="rId76"/>
    <hyperlink xmlns:r="http://schemas.openxmlformats.org/officeDocument/2006/relationships" ref="D31" r:id="rId77"/>
    <hyperlink xmlns:r="http://schemas.openxmlformats.org/officeDocument/2006/relationships" ref="F31" r:id="rId78"/>
    <hyperlink xmlns:r="http://schemas.openxmlformats.org/officeDocument/2006/relationships" ref="G31" r:id="rId79"/>
    <hyperlink xmlns:r="http://schemas.openxmlformats.org/officeDocument/2006/relationships" ref="D32" r:id="rId80"/>
    <hyperlink xmlns:r="http://schemas.openxmlformats.org/officeDocument/2006/relationships" ref="F32" r:id="rId81"/>
    <hyperlink xmlns:r="http://schemas.openxmlformats.org/officeDocument/2006/relationships" ref="G32" r:id="rId82"/>
    <hyperlink xmlns:r="http://schemas.openxmlformats.org/officeDocument/2006/relationships" ref="D33" r:id="rId83"/>
    <hyperlink xmlns:r="http://schemas.openxmlformats.org/officeDocument/2006/relationships" ref="F33" r:id="rId84"/>
    <hyperlink xmlns:r="http://schemas.openxmlformats.org/officeDocument/2006/relationships" ref="G33" r:id="rId85"/>
    <hyperlink xmlns:r="http://schemas.openxmlformats.org/officeDocument/2006/relationships" ref="F34" r:id="rId86"/>
    <hyperlink xmlns:r="http://schemas.openxmlformats.org/officeDocument/2006/relationships" ref="G34" r:id="rId87"/>
    <hyperlink xmlns:r="http://schemas.openxmlformats.org/officeDocument/2006/relationships" ref="D35" r:id="rId88"/>
    <hyperlink xmlns:r="http://schemas.openxmlformats.org/officeDocument/2006/relationships" ref="F35" r:id="rId89"/>
    <hyperlink xmlns:r="http://schemas.openxmlformats.org/officeDocument/2006/relationships" ref="G35" r:id="rId90"/>
    <hyperlink xmlns:r="http://schemas.openxmlformats.org/officeDocument/2006/relationships" ref="D36" r:id="rId91"/>
    <hyperlink xmlns:r="http://schemas.openxmlformats.org/officeDocument/2006/relationships" ref="F36" r:id="rId92"/>
    <hyperlink xmlns:r="http://schemas.openxmlformats.org/officeDocument/2006/relationships" ref="G36" r:id="rId93"/>
    <hyperlink xmlns:r="http://schemas.openxmlformats.org/officeDocument/2006/relationships" ref="D37" r:id="rId94"/>
    <hyperlink xmlns:r="http://schemas.openxmlformats.org/officeDocument/2006/relationships" ref="F37" r:id="rId95"/>
    <hyperlink xmlns:r="http://schemas.openxmlformats.org/officeDocument/2006/relationships" ref="G37" r:id="rId96"/>
    <hyperlink xmlns:r="http://schemas.openxmlformats.org/officeDocument/2006/relationships" ref="D38" r:id="rId97"/>
    <hyperlink xmlns:r="http://schemas.openxmlformats.org/officeDocument/2006/relationships" ref="F38" r:id="rId98"/>
    <hyperlink xmlns:r="http://schemas.openxmlformats.org/officeDocument/2006/relationships" ref="G38" r:id="rId99"/>
    <hyperlink xmlns:r="http://schemas.openxmlformats.org/officeDocument/2006/relationships" ref="F39" r:id="rId100"/>
    <hyperlink xmlns:r="http://schemas.openxmlformats.org/officeDocument/2006/relationships" ref="G39" r:id="rId101"/>
    <hyperlink xmlns:r="http://schemas.openxmlformats.org/officeDocument/2006/relationships" ref="D40" r:id="rId102"/>
    <hyperlink xmlns:r="http://schemas.openxmlformats.org/officeDocument/2006/relationships" ref="F40" r:id="rId103"/>
    <hyperlink xmlns:r="http://schemas.openxmlformats.org/officeDocument/2006/relationships" ref="G40" r:id="rId104"/>
    <hyperlink xmlns:r="http://schemas.openxmlformats.org/officeDocument/2006/relationships" ref="D41" r:id="rId105"/>
    <hyperlink xmlns:r="http://schemas.openxmlformats.org/officeDocument/2006/relationships" ref="F41" r:id="rId106"/>
    <hyperlink xmlns:r="http://schemas.openxmlformats.org/officeDocument/2006/relationships" ref="G41" r:id="rId107"/>
    <hyperlink xmlns:r="http://schemas.openxmlformats.org/officeDocument/2006/relationships" ref="D42" r:id="rId108"/>
    <hyperlink xmlns:r="http://schemas.openxmlformats.org/officeDocument/2006/relationships" ref="F42" r:id="rId109"/>
    <hyperlink xmlns:r="http://schemas.openxmlformats.org/officeDocument/2006/relationships" ref="G42" r:id="rId110"/>
    <hyperlink xmlns:r="http://schemas.openxmlformats.org/officeDocument/2006/relationships" ref="D43" r:id="rId111"/>
    <hyperlink xmlns:r="http://schemas.openxmlformats.org/officeDocument/2006/relationships" ref="F43" r:id="rId112"/>
    <hyperlink xmlns:r="http://schemas.openxmlformats.org/officeDocument/2006/relationships" ref="G43" r:id="rId113"/>
    <hyperlink xmlns:r="http://schemas.openxmlformats.org/officeDocument/2006/relationships" ref="D44" r:id="rId114"/>
    <hyperlink xmlns:r="http://schemas.openxmlformats.org/officeDocument/2006/relationships" ref="F44" r:id="rId115"/>
    <hyperlink xmlns:r="http://schemas.openxmlformats.org/officeDocument/2006/relationships" ref="G44" r:id="rId116"/>
    <hyperlink xmlns:r="http://schemas.openxmlformats.org/officeDocument/2006/relationships" ref="D45" r:id="rId117"/>
    <hyperlink xmlns:r="http://schemas.openxmlformats.org/officeDocument/2006/relationships" ref="F45" r:id="rId118"/>
    <hyperlink xmlns:r="http://schemas.openxmlformats.org/officeDocument/2006/relationships" ref="G45" r:id="rId119"/>
    <hyperlink xmlns:r="http://schemas.openxmlformats.org/officeDocument/2006/relationships" ref="D46" r:id="rId120"/>
    <hyperlink xmlns:r="http://schemas.openxmlformats.org/officeDocument/2006/relationships" ref="F46" r:id="rId121"/>
    <hyperlink xmlns:r="http://schemas.openxmlformats.org/officeDocument/2006/relationships" ref="G46" r:id="rId122"/>
    <hyperlink xmlns:r="http://schemas.openxmlformats.org/officeDocument/2006/relationships" ref="D47" r:id="rId123"/>
    <hyperlink xmlns:r="http://schemas.openxmlformats.org/officeDocument/2006/relationships" ref="F47" r:id="rId124"/>
    <hyperlink xmlns:r="http://schemas.openxmlformats.org/officeDocument/2006/relationships" ref="G47" r:id="rId125"/>
    <hyperlink xmlns:r="http://schemas.openxmlformats.org/officeDocument/2006/relationships" ref="D48" r:id="rId126"/>
    <hyperlink xmlns:r="http://schemas.openxmlformats.org/officeDocument/2006/relationships" ref="F48" r:id="rId127"/>
    <hyperlink xmlns:r="http://schemas.openxmlformats.org/officeDocument/2006/relationships" ref="G48" r:id="rId128"/>
    <hyperlink xmlns:r="http://schemas.openxmlformats.org/officeDocument/2006/relationships" ref="F49" r:id="rId129"/>
    <hyperlink xmlns:r="http://schemas.openxmlformats.org/officeDocument/2006/relationships" ref="G49" r:id="rId130"/>
    <hyperlink xmlns:r="http://schemas.openxmlformats.org/officeDocument/2006/relationships" ref="D50" r:id="rId131"/>
    <hyperlink xmlns:r="http://schemas.openxmlformats.org/officeDocument/2006/relationships" ref="F50" r:id="rId132"/>
    <hyperlink xmlns:r="http://schemas.openxmlformats.org/officeDocument/2006/relationships" ref="G50" r:id="rId133"/>
    <hyperlink xmlns:r="http://schemas.openxmlformats.org/officeDocument/2006/relationships" ref="D51" r:id="rId134"/>
    <hyperlink xmlns:r="http://schemas.openxmlformats.org/officeDocument/2006/relationships" ref="F51" r:id="rId135"/>
    <hyperlink xmlns:r="http://schemas.openxmlformats.org/officeDocument/2006/relationships" ref="G51" r:id="rId136"/>
    <hyperlink xmlns:r="http://schemas.openxmlformats.org/officeDocument/2006/relationships" ref="F52" r:id="rId137"/>
    <hyperlink xmlns:r="http://schemas.openxmlformats.org/officeDocument/2006/relationships" ref="G52" r:id="rId138"/>
    <hyperlink xmlns:r="http://schemas.openxmlformats.org/officeDocument/2006/relationships" ref="D53" r:id="rId139"/>
    <hyperlink xmlns:r="http://schemas.openxmlformats.org/officeDocument/2006/relationships" ref="F53" r:id="rId140"/>
    <hyperlink xmlns:r="http://schemas.openxmlformats.org/officeDocument/2006/relationships" ref="G53" r:id="rId141"/>
    <hyperlink xmlns:r="http://schemas.openxmlformats.org/officeDocument/2006/relationships" ref="D54" r:id="rId142"/>
    <hyperlink xmlns:r="http://schemas.openxmlformats.org/officeDocument/2006/relationships" ref="F54" r:id="rId143"/>
    <hyperlink xmlns:r="http://schemas.openxmlformats.org/officeDocument/2006/relationships" ref="G54" r:id="rId144"/>
    <hyperlink xmlns:r="http://schemas.openxmlformats.org/officeDocument/2006/relationships" ref="D55" r:id="rId145"/>
    <hyperlink xmlns:r="http://schemas.openxmlformats.org/officeDocument/2006/relationships" ref="F55" r:id="rId146"/>
    <hyperlink xmlns:r="http://schemas.openxmlformats.org/officeDocument/2006/relationships" ref="G55" r:id="rId147"/>
    <hyperlink xmlns:r="http://schemas.openxmlformats.org/officeDocument/2006/relationships" ref="D56" r:id="rId148"/>
    <hyperlink xmlns:r="http://schemas.openxmlformats.org/officeDocument/2006/relationships" ref="F56" r:id="rId149"/>
    <hyperlink xmlns:r="http://schemas.openxmlformats.org/officeDocument/2006/relationships" ref="G56" r:id="rId150"/>
    <hyperlink xmlns:r="http://schemas.openxmlformats.org/officeDocument/2006/relationships" ref="D57" r:id="rId151"/>
    <hyperlink xmlns:r="http://schemas.openxmlformats.org/officeDocument/2006/relationships" ref="F57" r:id="rId152"/>
    <hyperlink xmlns:r="http://schemas.openxmlformats.org/officeDocument/2006/relationships" ref="G57" r:id="rId153"/>
    <hyperlink xmlns:r="http://schemas.openxmlformats.org/officeDocument/2006/relationships" ref="D58" r:id="rId154"/>
    <hyperlink xmlns:r="http://schemas.openxmlformats.org/officeDocument/2006/relationships" ref="F58" r:id="rId155"/>
    <hyperlink xmlns:r="http://schemas.openxmlformats.org/officeDocument/2006/relationships" ref="G58" r:id="rId156"/>
    <hyperlink xmlns:r="http://schemas.openxmlformats.org/officeDocument/2006/relationships" ref="F59" r:id="rId157"/>
    <hyperlink xmlns:r="http://schemas.openxmlformats.org/officeDocument/2006/relationships" ref="G59" r:id="rId158"/>
    <hyperlink xmlns:r="http://schemas.openxmlformats.org/officeDocument/2006/relationships" ref="F60" r:id="rId159"/>
    <hyperlink xmlns:r="http://schemas.openxmlformats.org/officeDocument/2006/relationships" ref="G60" r:id="rId160"/>
    <hyperlink xmlns:r="http://schemas.openxmlformats.org/officeDocument/2006/relationships" ref="D61" r:id="rId161"/>
    <hyperlink xmlns:r="http://schemas.openxmlformats.org/officeDocument/2006/relationships" ref="F61" r:id="rId162"/>
    <hyperlink xmlns:r="http://schemas.openxmlformats.org/officeDocument/2006/relationships" ref="G61" r:id="rId163"/>
    <hyperlink xmlns:r="http://schemas.openxmlformats.org/officeDocument/2006/relationships" ref="D62" r:id="rId164"/>
    <hyperlink xmlns:r="http://schemas.openxmlformats.org/officeDocument/2006/relationships" ref="F62" r:id="rId165"/>
    <hyperlink xmlns:r="http://schemas.openxmlformats.org/officeDocument/2006/relationships" ref="G62" r:id="rId166"/>
    <hyperlink xmlns:r="http://schemas.openxmlformats.org/officeDocument/2006/relationships" ref="F63" r:id="rId167"/>
    <hyperlink xmlns:r="http://schemas.openxmlformats.org/officeDocument/2006/relationships" ref="G63" r:id="rId168"/>
    <hyperlink xmlns:r="http://schemas.openxmlformats.org/officeDocument/2006/relationships" ref="F64" r:id="rId169"/>
    <hyperlink xmlns:r="http://schemas.openxmlformats.org/officeDocument/2006/relationships" ref="G64" r:id="rId170"/>
    <hyperlink xmlns:r="http://schemas.openxmlformats.org/officeDocument/2006/relationships" ref="D65" r:id="rId171"/>
    <hyperlink xmlns:r="http://schemas.openxmlformats.org/officeDocument/2006/relationships" ref="F65" r:id="rId172"/>
    <hyperlink xmlns:r="http://schemas.openxmlformats.org/officeDocument/2006/relationships" ref="G65" r:id="rId173"/>
    <hyperlink xmlns:r="http://schemas.openxmlformats.org/officeDocument/2006/relationships" ref="D66" r:id="rId174"/>
    <hyperlink xmlns:r="http://schemas.openxmlformats.org/officeDocument/2006/relationships" ref="F66" r:id="rId175"/>
    <hyperlink xmlns:r="http://schemas.openxmlformats.org/officeDocument/2006/relationships" ref="G66" r:id="rId176"/>
    <hyperlink xmlns:r="http://schemas.openxmlformats.org/officeDocument/2006/relationships" ref="F67" r:id="rId177"/>
    <hyperlink xmlns:r="http://schemas.openxmlformats.org/officeDocument/2006/relationships" ref="G67" r:id="rId178"/>
    <hyperlink xmlns:r="http://schemas.openxmlformats.org/officeDocument/2006/relationships" ref="D68" r:id="rId179"/>
    <hyperlink xmlns:r="http://schemas.openxmlformats.org/officeDocument/2006/relationships" ref="F68" r:id="rId180"/>
    <hyperlink xmlns:r="http://schemas.openxmlformats.org/officeDocument/2006/relationships" ref="G68" r:id="rId181"/>
    <hyperlink xmlns:r="http://schemas.openxmlformats.org/officeDocument/2006/relationships" ref="D69" r:id="rId182"/>
    <hyperlink xmlns:r="http://schemas.openxmlformats.org/officeDocument/2006/relationships" ref="F69" r:id="rId183"/>
    <hyperlink xmlns:r="http://schemas.openxmlformats.org/officeDocument/2006/relationships" ref="G69" r:id="rId184"/>
    <hyperlink xmlns:r="http://schemas.openxmlformats.org/officeDocument/2006/relationships" ref="D70" r:id="rId185"/>
    <hyperlink xmlns:r="http://schemas.openxmlformats.org/officeDocument/2006/relationships" ref="F70" r:id="rId186"/>
    <hyperlink xmlns:r="http://schemas.openxmlformats.org/officeDocument/2006/relationships" ref="G70" r:id="rId187"/>
    <hyperlink xmlns:r="http://schemas.openxmlformats.org/officeDocument/2006/relationships" ref="D71" r:id="rId188"/>
    <hyperlink xmlns:r="http://schemas.openxmlformats.org/officeDocument/2006/relationships" ref="F71" r:id="rId189"/>
    <hyperlink xmlns:r="http://schemas.openxmlformats.org/officeDocument/2006/relationships" ref="G71" r:id="rId190"/>
    <hyperlink xmlns:r="http://schemas.openxmlformats.org/officeDocument/2006/relationships" ref="F72" r:id="rId191"/>
    <hyperlink xmlns:r="http://schemas.openxmlformats.org/officeDocument/2006/relationships" ref="G72" r:id="rId192"/>
    <hyperlink xmlns:r="http://schemas.openxmlformats.org/officeDocument/2006/relationships" ref="D73" r:id="rId193"/>
    <hyperlink xmlns:r="http://schemas.openxmlformats.org/officeDocument/2006/relationships" ref="F73" r:id="rId194"/>
    <hyperlink xmlns:r="http://schemas.openxmlformats.org/officeDocument/2006/relationships" ref="G73" r:id="rId195"/>
    <hyperlink xmlns:r="http://schemas.openxmlformats.org/officeDocument/2006/relationships" ref="D74" r:id="rId196"/>
    <hyperlink xmlns:r="http://schemas.openxmlformats.org/officeDocument/2006/relationships" ref="F74" r:id="rId197"/>
    <hyperlink xmlns:r="http://schemas.openxmlformats.org/officeDocument/2006/relationships" ref="G74" r:id="rId198"/>
    <hyperlink xmlns:r="http://schemas.openxmlformats.org/officeDocument/2006/relationships" ref="D75" r:id="rId199"/>
    <hyperlink xmlns:r="http://schemas.openxmlformats.org/officeDocument/2006/relationships" ref="F75" r:id="rId200"/>
    <hyperlink xmlns:r="http://schemas.openxmlformats.org/officeDocument/2006/relationships" ref="G75" r:id="rId201"/>
    <hyperlink xmlns:r="http://schemas.openxmlformats.org/officeDocument/2006/relationships" ref="D76" r:id="rId202"/>
    <hyperlink xmlns:r="http://schemas.openxmlformats.org/officeDocument/2006/relationships" ref="E76" r:id="rId203"/>
    <hyperlink xmlns:r="http://schemas.openxmlformats.org/officeDocument/2006/relationships" ref="G76" r:id="rId204"/>
    <hyperlink xmlns:r="http://schemas.openxmlformats.org/officeDocument/2006/relationships" ref="D77" r:id="rId205"/>
    <hyperlink xmlns:r="http://schemas.openxmlformats.org/officeDocument/2006/relationships" ref="E77" r:id="rId206"/>
    <hyperlink xmlns:r="http://schemas.openxmlformats.org/officeDocument/2006/relationships" ref="G77" r:id="rId207"/>
    <hyperlink xmlns:r="http://schemas.openxmlformats.org/officeDocument/2006/relationships" ref="E78" r:id="rId208"/>
    <hyperlink xmlns:r="http://schemas.openxmlformats.org/officeDocument/2006/relationships" ref="G78" r:id="rId209"/>
    <hyperlink xmlns:r="http://schemas.openxmlformats.org/officeDocument/2006/relationships" ref="D79" r:id="rId210"/>
    <hyperlink xmlns:r="http://schemas.openxmlformats.org/officeDocument/2006/relationships" ref="E79" r:id="rId211"/>
    <hyperlink xmlns:r="http://schemas.openxmlformats.org/officeDocument/2006/relationships" ref="G79" r:id="rId212"/>
    <hyperlink xmlns:r="http://schemas.openxmlformats.org/officeDocument/2006/relationships" ref="D80" r:id="rId213"/>
    <hyperlink xmlns:r="http://schemas.openxmlformats.org/officeDocument/2006/relationships" ref="E80" r:id="rId214"/>
    <hyperlink xmlns:r="http://schemas.openxmlformats.org/officeDocument/2006/relationships" ref="G80" r:id="rId215"/>
    <hyperlink xmlns:r="http://schemas.openxmlformats.org/officeDocument/2006/relationships" ref="E81" r:id="rId216"/>
    <hyperlink xmlns:r="http://schemas.openxmlformats.org/officeDocument/2006/relationships" ref="G81" r:id="rId217"/>
    <hyperlink xmlns:r="http://schemas.openxmlformats.org/officeDocument/2006/relationships" ref="E82" r:id="rId218"/>
    <hyperlink xmlns:r="http://schemas.openxmlformats.org/officeDocument/2006/relationships" ref="G82" r:id="rId219"/>
    <hyperlink xmlns:r="http://schemas.openxmlformats.org/officeDocument/2006/relationships" ref="D83" r:id="rId220"/>
    <hyperlink xmlns:r="http://schemas.openxmlformats.org/officeDocument/2006/relationships" ref="E83" r:id="rId221"/>
    <hyperlink xmlns:r="http://schemas.openxmlformats.org/officeDocument/2006/relationships" ref="G83" r:id="rId222"/>
    <hyperlink xmlns:r="http://schemas.openxmlformats.org/officeDocument/2006/relationships" ref="E84" r:id="rId223"/>
    <hyperlink xmlns:r="http://schemas.openxmlformats.org/officeDocument/2006/relationships" ref="G84" r:id="rId224"/>
    <hyperlink xmlns:r="http://schemas.openxmlformats.org/officeDocument/2006/relationships" ref="E85" r:id="rId225"/>
    <hyperlink xmlns:r="http://schemas.openxmlformats.org/officeDocument/2006/relationships" ref="G85" r:id="rId226"/>
    <hyperlink xmlns:r="http://schemas.openxmlformats.org/officeDocument/2006/relationships" ref="E86" r:id="rId227"/>
    <hyperlink xmlns:r="http://schemas.openxmlformats.org/officeDocument/2006/relationships" ref="G86" r:id="rId228"/>
    <hyperlink xmlns:r="http://schemas.openxmlformats.org/officeDocument/2006/relationships" ref="E87" r:id="rId229"/>
    <hyperlink xmlns:r="http://schemas.openxmlformats.org/officeDocument/2006/relationships" ref="G87" r:id="rId230"/>
    <hyperlink xmlns:r="http://schemas.openxmlformats.org/officeDocument/2006/relationships" ref="D88" r:id="rId231"/>
    <hyperlink xmlns:r="http://schemas.openxmlformats.org/officeDocument/2006/relationships" ref="E88" r:id="rId232"/>
    <hyperlink xmlns:r="http://schemas.openxmlformats.org/officeDocument/2006/relationships" ref="G88" r:id="rId233"/>
    <hyperlink xmlns:r="http://schemas.openxmlformats.org/officeDocument/2006/relationships" ref="D89" r:id="rId234"/>
    <hyperlink xmlns:r="http://schemas.openxmlformats.org/officeDocument/2006/relationships" ref="E89" r:id="rId235"/>
    <hyperlink xmlns:r="http://schemas.openxmlformats.org/officeDocument/2006/relationships" ref="G89" r:id="rId236"/>
    <hyperlink xmlns:r="http://schemas.openxmlformats.org/officeDocument/2006/relationships" ref="D90" r:id="rId237"/>
    <hyperlink xmlns:r="http://schemas.openxmlformats.org/officeDocument/2006/relationships" ref="E90" r:id="rId238"/>
    <hyperlink xmlns:r="http://schemas.openxmlformats.org/officeDocument/2006/relationships" ref="G90" r:id="rId239"/>
    <hyperlink xmlns:r="http://schemas.openxmlformats.org/officeDocument/2006/relationships" ref="E91" r:id="rId240"/>
    <hyperlink xmlns:r="http://schemas.openxmlformats.org/officeDocument/2006/relationships" ref="G91" r:id="rId241"/>
    <hyperlink xmlns:r="http://schemas.openxmlformats.org/officeDocument/2006/relationships" ref="G92" r:id="rId242"/>
    <hyperlink xmlns:r="http://schemas.openxmlformats.org/officeDocument/2006/relationships" ref="G93" r:id="rId243"/>
    <hyperlink xmlns:r="http://schemas.openxmlformats.org/officeDocument/2006/relationships" ref="G94" r:id="rId244"/>
    <hyperlink xmlns:r="http://schemas.openxmlformats.org/officeDocument/2006/relationships" ref="G95" r:id="rId245"/>
    <hyperlink xmlns:r="http://schemas.openxmlformats.org/officeDocument/2006/relationships" ref="G96" r:id="rId246"/>
    <hyperlink xmlns:r="http://schemas.openxmlformats.org/officeDocument/2006/relationships" ref="G97" r:id="rId247"/>
    <hyperlink xmlns:r="http://schemas.openxmlformats.org/officeDocument/2006/relationships" ref="G98" r:id="rId248"/>
    <hyperlink xmlns:r="http://schemas.openxmlformats.org/officeDocument/2006/relationships" ref="G99" r:id="rId249"/>
    <hyperlink xmlns:r="http://schemas.openxmlformats.org/officeDocument/2006/relationships" ref="G100" r:id="rId250"/>
    <hyperlink xmlns:r="http://schemas.openxmlformats.org/officeDocument/2006/relationships" ref="G101" r:id="rId251"/>
    <hyperlink xmlns:r="http://schemas.openxmlformats.org/officeDocument/2006/relationships" ref="G102" r:id="rId252"/>
    <hyperlink xmlns:r="http://schemas.openxmlformats.org/officeDocument/2006/relationships" ref="G103" r:id="rId253"/>
    <hyperlink xmlns:r="http://schemas.openxmlformats.org/officeDocument/2006/relationships" ref="G104" r:id="rId254"/>
    <hyperlink xmlns:r="http://schemas.openxmlformats.org/officeDocument/2006/relationships" ref="G105" r:id="rId255"/>
    <hyperlink xmlns:r="http://schemas.openxmlformats.org/officeDocument/2006/relationships" ref="G106" r:id="rId256"/>
    <hyperlink xmlns:r="http://schemas.openxmlformats.org/officeDocument/2006/relationships" ref="G107" r:id="rId257"/>
    <hyperlink xmlns:r="http://schemas.openxmlformats.org/officeDocument/2006/relationships" ref="G108" r:id="rId258"/>
    <hyperlink xmlns:r="http://schemas.openxmlformats.org/officeDocument/2006/relationships" ref="G109" r:id="rId259"/>
    <hyperlink xmlns:r="http://schemas.openxmlformats.org/officeDocument/2006/relationships" ref="G110" r:id="rId260"/>
    <hyperlink xmlns:r="http://schemas.openxmlformats.org/officeDocument/2006/relationships" ref="G111" r:id="rId261"/>
    <hyperlink xmlns:r="http://schemas.openxmlformats.org/officeDocument/2006/relationships" ref="G112" r:id="rId262"/>
    <hyperlink xmlns:r="http://schemas.openxmlformats.org/officeDocument/2006/relationships" ref="G113" r:id="rId263"/>
    <hyperlink xmlns:r="http://schemas.openxmlformats.org/officeDocument/2006/relationships" ref="G114" r:id="rId264"/>
    <hyperlink xmlns:r="http://schemas.openxmlformats.org/officeDocument/2006/relationships" ref="G115" r:id="rId265"/>
    <hyperlink xmlns:r="http://schemas.openxmlformats.org/officeDocument/2006/relationships" ref="G116" r:id="rId266"/>
    <hyperlink xmlns:r="http://schemas.openxmlformats.org/officeDocument/2006/relationships" ref="G117" r:id="rId267"/>
    <hyperlink xmlns:r="http://schemas.openxmlformats.org/officeDocument/2006/relationships" ref="G118" r:id="rId268"/>
    <hyperlink xmlns:r="http://schemas.openxmlformats.org/officeDocument/2006/relationships" ref="G119" r:id="rId269"/>
    <hyperlink xmlns:r="http://schemas.openxmlformats.org/officeDocument/2006/relationships" ref="G120" r:id="rId270"/>
    <hyperlink xmlns:r="http://schemas.openxmlformats.org/officeDocument/2006/relationships" ref="G121" r:id="rId271"/>
    <hyperlink xmlns:r="http://schemas.openxmlformats.org/officeDocument/2006/relationships" ref="G122" r:id="rId272"/>
    <hyperlink xmlns:r="http://schemas.openxmlformats.org/officeDocument/2006/relationships" ref="G123" r:id="rId273"/>
    <hyperlink xmlns:r="http://schemas.openxmlformats.org/officeDocument/2006/relationships" ref="G124" r:id="rId274"/>
    <hyperlink xmlns:r="http://schemas.openxmlformats.org/officeDocument/2006/relationships" ref="G125" r:id="rId275"/>
    <hyperlink xmlns:r="http://schemas.openxmlformats.org/officeDocument/2006/relationships" ref="G126" r:id="rId276"/>
    <hyperlink xmlns:r="http://schemas.openxmlformats.org/officeDocument/2006/relationships" ref="G127" r:id="rId277"/>
    <hyperlink xmlns:r="http://schemas.openxmlformats.org/officeDocument/2006/relationships" ref="G128" r:id="rId278"/>
    <hyperlink xmlns:r="http://schemas.openxmlformats.org/officeDocument/2006/relationships" ref="G129" r:id="rId279"/>
    <hyperlink xmlns:r="http://schemas.openxmlformats.org/officeDocument/2006/relationships" ref="G130" r:id="rId280"/>
    <hyperlink xmlns:r="http://schemas.openxmlformats.org/officeDocument/2006/relationships" ref="G131" r:id="rId281"/>
    <hyperlink xmlns:r="http://schemas.openxmlformats.org/officeDocument/2006/relationships" ref="G132" r:id="rId282"/>
    <hyperlink xmlns:r="http://schemas.openxmlformats.org/officeDocument/2006/relationships" ref="G133" r:id="rId283"/>
    <hyperlink xmlns:r="http://schemas.openxmlformats.org/officeDocument/2006/relationships" ref="G134" r:id="rId284"/>
    <hyperlink xmlns:r="http://schemas.openxmlformats.org/officeDocument/2006/relationships" ref="G135" r:id="rId285"/>
    <hyperlink xmlns:r="http://schemas.openxmlformats.org/officeDocument/2006/relationships" ref="G136" r:id="rId286"/>
    <hyperlink xmlns:r="http://schemas.openxmlformats.org/officeDocument/2006/relationships" ref="G137" r:id="rId287"/>
    <hyperlink xmlns:r="http://schemas.openxmlformats.org/officeDocument/2006/relationships" ref="G138" r:id="rId288"/>
    <hyperlink xmlns:r="http://schemas.openxmlformats.org/officeDocument/2006/relationships" ref="G139" r:id="rId289"/>
    <hyperlink xmlns:r="http://schemas.openxmlformats.org/officeDocument/2006/relationships" ref="G140" r:id="rId290"/>
    <hyperlink xmlns:r="http://schemas.openxmlformats.org/officeDocument/2006/relationships" ref="G141" r:id="rId291"/>
    <hyperlink xmlns:r="http://schemas.openxmlformats.org/officeDocument/2006/relationships" ref="G142" r:id="rId292"/>
    <hyperlink xmlns:r="http://schemas.openxmlformats.org/officeDocument/2006/relationships" ref="G143" r:id="rId293"/>
    <hyperlink xmlns:r="http://schemas.openxmlformats.org/officeDocument/2006/relationships" ref="G144" r:id="rId294"/>
    <hyperlink xmlns:r="http://schemas.openxmlformats.org/officeDocument/2006/relationships" ref="G145" r:id="rId295"/>
    <hyperlink xmlns:r="http://schemas.openxmlformats.org/officeDocument/2006/relationships" ref="G146" r:id="rId296"/>
    <hyperlink xmlns:r="http://schemas.openxmlformats.org/officeDocument/2006/relationships" ref="G147" r:id="rId297"/>
    <hyperlink xmlns:r="http://schemas.openxmlformats.org/officeDocument/2006/relationships" ref="G148" r:id="rId298"/>
    <hyperlink xmlns:r="http://schemas.openxmlformats.org/officeDocument/2006/relationships" ref="G149" r:id="rId299"/>
    <hyperlink xmlns:r="http://schemas.openxmlformats.org/officeDocument/2006/relationships" ref="G150" r:id="rId300"/>
    <hyperlink xmlns:r="http://schemas.openxmlformats.org/officeDocument/2006/relationships" ref="G151" r:id="rId301"/>
    <hyperlink xmlns:r="http://schemas.openxmlformats.org/officeDocument/2006/relationships" ref="G152" r:id="rId302"/>
    <hyperlink xmlns:r="http://schemas.openxmlformats.org/officeDocument/2006/relationships" ref="G153" r:id="rId303"/>
    <hyperlink xmlns:r="http://schemas.openxmlformats.org/officeDocument/2006/relationships" ref="G154" r:id="rId304"/>
    <hyperlink xmlns:r="http://schemas.openxmlformats.org/officeDocument/2006/relationships" ref="G155" r:id="rId305"/>
    <hyperlink xmlns:r="http://schemas.openxmlformats.org/officeDocument/2006/relationships" ref="G156" r:id="rId306"/>
    <hyperlink xmlns:r="http://schemas.openxmlformats.org/officeDocument/2006/relationships" ref="G157" r:id="rId307"/>
    <hyperlink xmlns:r="http://schemas.openxmlformats.org/officeDocument/2006/relationships" ref="G158" r:id="rId308"/>
    <hyperlink xmlns:r="http://schemas.openxmlformats.org/officeDocument/2006/relationships" ref="G159" r:id="rId309"/>
    <hyperlink xmlns:r="http://schemas.openxmlformats.org/officeDocument/2006/relationships" ref="G160" r:id="rId310"/>
    <hyperlink xmlns:r="http://schemas.openxmlformats.org/officeDocument/2006/relationships" ref="G161" r:id="rId311"/>
    <hyperlink xmlns:r="http://schemas.openxmlformats.org/officeDocument/2006/relationships" ref="G162" r:id="rId312"/>
    <hyperlink xmlns:r="http://schemas.openxmlformats.org/officeDocument/2006/relationships" ref="G163" r:id="rId313"/>
    <hyperlink xmlns:r="http://schemas.openxmlformats.org/officeDocument/2006/relationships" ref="D164" r:id="rId314"/>
    <hyperlink xmlns:r="http://schemas.openxmlformats.org/officeDocument/2006/relationships" ref="G164" r:id="rId315"/>
    <hyperlink xmlns:r="http://schemas.openxmlformats.org/officeDocument/2006/relationships" ref="G165" r:id="rId316"/>
    <hyperlink xmlns:r="http://schemas.openxmlformats.org/officeDocument/2006/relationships" ref="D166" r:id="rId317"/>
    <hyperlink xmlns:r="http://schemas.openxmlformats.org/officeDocument/2006/relationships" ref="G166" r:id="rId318"/>
    <hyperlink xmlns:r="http://schemas.openxmlformats.org/officeDocument/2006/relationships" ref="G167" r:id="rId319"/>
    <hyperlink xmlns:r="http://schemas.openxmlformats.org/officeDocument/2006/relationships" ref="G168" r:id="rId320"/>
    <hyperlink xmlns:r="http://schemas.openxmlformats.org/officeDocument/2006/relationships" ref="D169" r:id="rId321"/>
    <hyperlink xmlns:r="http://schemas.openxmlformats.org/officeDocument/2006/relationships" ref="G169" r:id="rId322"/>
    <hyperlink xmlns:r="http://schemas.openxmlformats.org/officeDocument/2006/relationships" ref="G170" r:id="rId323"/>
    <hyperlink xmlns:r="http://schemas.openxmlformats.org/officeDocument/2006/relationships" ref="G171" r:id="rId324"/>
    <hyperlink xmlns:r="http://schemas.openxmlformats.org/officeDocument/2006/relationships" ref="G172" r:id="rId325"/>
    <hyperlink xmlns:r="http://schemas.openxmlformats.org/officeDocument/2006/relationships" ref="G173" r:id="rId326"/>
    <hyperlink xmlns:r="http://schemas.openxmlformats.org/officeDocument/2006/relationships" ref="G174" r:id="rId327"/>
    <hyperlink xmlns:r="http://schemas.openxmlformats.org/officeDocument/2006/relationships" ref="G175" r:id="rId328"/>
    <hyperlink xmlns:r="http://schemas.openxmlformats.org/officeDocument/2006/relationships" ref="G176" r:id="rId329"/>
    <hyperlink xmlns:r="http://schemas.openxmlformats.org/officeDocument/2006/relationships" ref="G177" r:id="rId330"/>
    <hyperlink xmlns:r="http://schemas.openxmlformats.org/officeDocument/2006/relationships" ref="G178" r:id="rId331"/>
    <hyperlink xmlns:r="http://schemas.openxmlformats.org/officeDocument/2006/relationships" ref="G179" r:id="rId332"/>
    <hyperlink xmlns:r="http://schemas.openxmlformats.org/officeDocument/2006/relationships" ref="G180" r:id="rId333"/>
    <hyperlink xmlns:r="http://schemas.openxmlformats.org/officeDocument/2006/relationships" ref="G181" r:id="rId334"/>
    <hyperlink xmlns:r="http://schemas.openxmlformats.org/officeDocument/2006/relationships" ref="G182" r:id="rId335"/>
    <hyperlink xmlns:r="http://schemas.openxmlformats.org/officeDocument/2006/relationships" ref="G183" r:id="rId336"/>
    <hyperlink xmlns:r="http://schemas.openxmlformats.org/officeDocument/2006/relationships" ref="G184" r:id="rId337"/>
    <hyperlink xmlns:r="http://schemas.openxmlformats.org/officeDocument/2006/relationships" ref="G185" r:id="rId338"/>
    <hyperlink xmlns:r="http://schemas.openxmlformats.org/officeDocument/2006/relationships" ref="G186" r:id="rId339"/>
    <hyperlink xmlns:r="http://schemas.openxmlformats.org/officeDocument/2006/relationships" ref="G187" r:id="rId340"/>
    <hyperlink xmlns:r="http://schemas.openxmlformats.org/officeDocument/2006/relationships" ref="G188" r:id="rId341"/>
    <hyperlink xmlns:r="http://schemas.openxmlformats.org/officeDocument/2006/relationships" ref="G189" r:id="rId342"/>
    <hyperlink xmlns:r="http://schemas.openxmlformats.org/officeDocument/2006/relationships" ref="G190" r:id="rId343"/>
    <hyperlink xmlns:r="http://schemas.openxmlformats.org/officeDocument/2006/relationships" ref="G191" r:id="rId344"/>
    <hyperlink xmlns:r="http://schemas.openxmlformats.org/officeDocument/2006/relationships" ref="D192" r:id="rId345"/>
    <hyperlink xmlns:r="http://schemas.openxmlformats.org/officeDocument/2006/relationships" ref="G192" r:id="rId346"/>
    <hyperlink xmlns:r="http://schemas.openxmlformats.org/officeDocument/2006/relationships" ref="G193" r:id="rId347"/>
    <hyperlink xmlns:r="http://schemas.openxmlformats.org/officeDocument/2006/relationships" ref="G194" r:id="rId348"/>
    <hyperlink xmlns:r="http://schemas.openxmlformats.org/officeDocument/2006/relationships" ref="G195" r:id="rId349"/>
    <hyperlink xmlns:r="http://schemas.openxmlformats.org/officeDocument/2006/relationships" ref="G196" r:id="rId350"/>
    <hyperlink xmlns:r="http://schemas.openxmlformats.org/officeDocument/2006/relationships" ref="G197" r:id="rId351"/>
    <hyperlink xmlns:r="http://schemas.openxmlformats.org/officeDocument/2006/relationships" ref="G198" r:id="rId352"/>
    <hyperlink xmlns:r="http://schemas.openxmlformats.org/officeDocument/2006/relationships" ref="G199" r:id="rId353"/>
    <hyperlink xmlns:r="http://schemas.openxmlformats.org/officeDocument/2006/relationships" ref="G200" r:id="rId354"/>
    <hyperlink xmlns:r="http://schemas.openxmlformats.org/officeDocument/2006/relationships" ref="G201" r:id="rId355"/>
    <hyperlink xmlns:r="http://schemas.openxmlformats.org/officeDocument/2006/relationships" ref="D202" r:id="rId356"/>
    <hyperlink xmlns:r="http://schemas.openxmlformats.org/officeDocument/2006/relationships" ref="G202" r:id="rId357"/>
    <hyperlink xmlns:r="http://schemas.openxmlformats.org/officeDocument/2006/relationships" ref="G203" r:id="rId358"/>
    <hyperlink xmlns:r="http://schemas.openxmlformats.org/officeDocument/2006/relationships" ref="G204" r:id="rId359"/>
    <hyperlink xmlns:r="http://schemas.openxmlformats.org/officeDocument/2006/relationships" ref="G205" r:id="rId360"/>
    <hyperlink xmlns:r="http://schemas.openxmlformats.org/officeDocument/2006/relationships" ref="G206" r:id="rId361"/>
    <hyperlink xmlns:r="http://schemas.openxmlformats.org/officeDocument/2006/relationships" ref="G207" r:id="rId362"/>
    <hyperlink xmlns:r="http://schemas.openxmlformats.org/officeDocument/2006/relationships" ref="G208" r:id="rId363"/>
    <hyperlink xmlns:r="http://schemas.openxmlformats.org/officeDocument/2006/relationships" ref="G209" r:id="rId364"/>
    <hyperlink xmlns:r="http://schemas.openxmlformats.org/officeDocument/2006/relationships" ref="G210" r:id="rId365"/>
    <hyperlink xmlns:r="http://schemas.openxmlformats.org/officeDocument/2006/relationships" ref="G211" r:id="rId366"/>
    <hyperlink xmlns:r="http://schemas.openxmlformats.org/officeDocument/2006/relationships" ref="G212" r:id="rId367"/>
    <hyperlink xmlns:r="http://schemas.openxmlformats.org/officeDocument/2006/relationships" ref="G213" r:id="rId368"/>
    <hyperlink xmlns:r="http://schemas.openxmlformats.org/officeDocument/2006/relationships" ref="G214" r:id="rId369"/>
    <hyperlink xmlns:r="http://schemas.openxmlformats.org/officeDocument/2006/relationships" ref="G215" r:id="rId370"/>
    <hyperlink xmlns:r="http://schemas.openxmlformats.org/officeDocument/2006/relationships" ref="G216" r:id="rId371"/>
    <hyperlink xmlns:r="http://schemas.openxmlformats.org/officeDocument/2006/relationships" ref="G217" r:id="rId372"/>
    <hyperlink xmlns:r="http://schemas.openxmlformats.org/officeDocument/2006/relationships" ref="G218" r:id="rId373"/>
    <hyperlink xmlns:r="http://schemas.openxmlformats.org/officeDocument/2006/relationships" ref="G219" r:id="rId374"/>
    <hyperlink xmlns:r="http://schemas.openxmlformats.org/officeDocument/2006/relationships" ref="G220" r:id="rId375"/>
    <hyperlink xmlns:r="http://schemas.openxmlformats.org/officeDocument/2006/relationships" ref="G221" r:id="rId376"/>
    <hyperlink xmlns:r="http://schemas.openxmlformats.org/officeDocument/2006/relationships" ref="G222" r:id="rId377"/>
    <hyperlink xmlns:r="http://schemas.openxmlformats.org/officeDocument/2006/relationships" ref="G223" r:id="rId378"/>
    <hyperlink xmlns:r="http://schemas.openxmlformats.org/officeDocument/2006/relationships" ref="G224" r:id="rId379"/>
    <hyperlink xmlns:r="http://schemas.openxmlformats.org/officeDocument/2006/relationships" ref="G225" r:id="rId380"/>
    <hyperlink xmlns:r="http://schemas.openxmlformats.org/officeDocument/2006/relationships" ref="G226" r:id="rId381"/>
    <hyperlink xmlns:r="http://schemas.openxmlformats.org/officeDocument/2006/relationships" ref="G227" r:id="rId382"/>
    <hyperlink xmlns:r="http://schemas.openxmlformats.org/officeDocument/2006/relationships" ref="G228" r:id="rId383"/>
    <hyperlink xmlns:r="http://schemas.openxmlformats.org/officeDocument/2006/relationships" ref="G229" r:id="rId384"/>
    <hyperlink xmlns:r="http://schemas.openxmlformats.org/officeDocument/2006/relationships" ref="G230" r:id="rId385"/>
    <hyperlink xmlns:r="http://schemas.openxmlformats.org/officeDocument/2006/relationships" ref="G231" r:id="rId386"/>
    <hyperlink xmlns:r="http://schemas.openxmlformats.org/officeDocument/2006/relationships" ref="G232" r:id="rId387"/>
    <hyperlink xmlns:r="http://schemas.openxmlformats.org/officeDocument/2006/relationships" ref="G233" r:id="rId388"/>
    <hyperlink xmlns:r="http://schemas.openxmlformats.org/officeDocument/2006/relationships" ref="G234" r:id="rId389"/>
    <hyperlink xmlns:r="http://schemas.openxmlformats.org/officeDocument/2006/relationships" ref="G235" r:id="rId390"/>
    <hyperlink xmlns:r="http://schemas.openxmlformats.org/officeDocument/2006/relationships" ref="G236" r:id="rId391"/>
    <hyperlink xmlns:r="http://schemas.openxmlformats.org/officeDocument/2006/relationships" ref="G237" r:id="rId392"/>
    <hyperlink xmlns:r="http://schemas.openxmlformats.org/officeDocument/2006/relationships" ref="G238" r:id="rId393"/>
    <hyperlink xmlns:r="http://schemas.openxmlformats.org/officeDocument/2006/relationships" ref="G239" r:id="rId394"/>
    <hyperlink xmlns:r="http://schemas.openxmlformats.org/officeDocument/2006/relationships" ref="G240" r:id="rId395"/>
    <hyperlink xmlns:r="http://schemas.openxmlformats.org/officeDocument/2006/relationships" ref="D241" r:id="rId396"/>
    <hyperlink xmlns:r="http://schemas.openxmlformats.org/officeDocument/2006/relationships" ref="G241" r:id="rId397"/>
    <hyperlink xmlns:r="http://schemas.openxmlformats.org/officeDocument/2006/relationships" ref="G242" r:id="rId398"/>
    <hyperlink xmlns:r="http://schemas.openxmlformats.org/officeDocument/2006/relationships" ref="G243" r:id="rId399"/>
    <hyperlink xmlns:r="http://schemas.openxmlformats.org/officeDocument/2006/relationships" ref="G244" r:id="rId400"/>
    <hyperlink xmlns:r="http://schemas.openxmlformats.org/officeDocument/2006/relationships" ref="G245" r:id="rId401"/>
    <hyperlink xmlns:r="http://schemas.openxmlformats.org/officeDocument/2006/relationships" ref="G246" r:id="rId402"/>
    <hyperlink xmlns:r="http://schemas.openxmlformats.org/officeDocument/2006/relationships" ref="G247" r:id="rId403"/>
    <hyperlink xmlns:r="http://schemas.openxmlformats.org/officeDocument/2006/relationships" ref="G248" r:id="rId404"/>
    <hyperlink xmlns:r="http://schemas.openxmlformats.org/officeDocument/2006/relationships" ref="G249" r:id="rId405"/>
    <hyperlink xmlns:r="http://schemas.openxmlformats.org/officeDocument/2006/relationships" ref="G250" r:id="rId406"/>
    <hyperlink xmlns:r="http://schemas.openxmlformats.org/officeDocument/2006/relationships" ref="G251" r:id="rId407"/>
    <hyperlink xmlns:r="http://schemas.openxmlformats.org/officeDocument/2006/relationships" ref="G252" r:id="rId408"/>
    <hyperlink xmlns:r="http://schemas.openxmlformats.org/officeDocument/2006/relationships" ref="G253" r:id="rId409"/>
    <hyperlink xmlns:r="http://schemas.openxmlformats.org/officeDocument/2006/relationships" ref="G254" r:id="rId410"/>
    <hyperlink xmlns:r="http://schemas.openxmlformats.org/officeDocument/2006/relationships" ref="D255" r:id="rId411"/>
    <hyperlink xmlns:r="http://schemas.openxmlformats.org/officeDocument/2006/relationships" ref="G255" r:id="rId412"/>
    <hyperlink xmlns:r="http://schemas.openxmlformats.org/officeDocument/2006/relationships" ref="G256" r:id="rId413"/>
    <hyperlink xmlns:r="http://schemas.openxmlformats.org/officeDocument/2006/relationships" ref="G257" r:id="rId414"/>
    <hyperlink xmlns:r="http://schemas.openxmlformats.org/officeDocument/2006/relationships" ref="G258" r:id="rId415"/>
    <hyperlink xmlns:r="http://schemas.openxmlformats.org/officeDocument/2006/relationships" ref="G259" r:id="rId416"/>
    <hyperlink xmlns:r="http://schemas.openxmlformats.org/officeDocument/2006/relationships" ref="G260" r:id="rId417"/>
    <hyperlink xmlns:r="http://schemas.openxmlformats.org/officeDocument/2006/relationships" ref="G261" r:id="rId418"/>
    <hyperlink xmlns:r="http://schemas.openxmlformats.org/officeDocument/2006/relationships" ref="G262" r:id="rId419"/>
    <hyperlink xmlns:r="http://schemas.openxmlformats.org/officeDocument/2006/relationships" ref="G263" r:id="rId420"/>
    <hyperlink xmlns:r="http://schemas.openxmlformats.org/officeDocument/2006/relationships" ref="G264" r:id="rId421"/>
    <hyperlink xmlns:r="http://schemas.openxmlformats.org/officeDocument/2006/relationships" ref="G265" r:id="rId422"/>
    <hyperlink xmlns:r="http://schemas.openxmlformats.org/officeDocument/2006/relationships" ref="G266" r:id="rId423"/>
    <hyperlink xmlns:r="http://schemas.openxmlformats.org/officeDocument/2006/relationships" ref="G267" r:id="rId424"/>
    <hyperlink xmlns:r="http://schemas.openxmlformats.org/officeDocument/2006/relationships" ref="G268" r:id="rId425"/>
    <hyperlink xmlns:r="http://schemas.openxmlformats.org/officeDocument/2006/relationships" ref="G269" r:id="rId426"/>
    <hyperlink xmlns:r="http://schemas.openxmlformats.org/officeDocument/2006/relationships" ref="G270" r:id="rId427"/>
    <hyperlink xmlns:r="http://schemas.openxmlformats.org/officeDocument/2006/relationships" ref="G271" r:id="rId428"/>
    <hyperlink xmlns:r="http://schemas.openxmlformats.org/officeDocument/2006/relationships" ref="G272" r:id="rId429"/>
    <hyperlink xmlns:r="http://schemas.openxmlformats.org/officeDocument/2006/relationships" ref="G273" r:id="rId430"/>
    <hyperlink xmlns:r="http://schemas.openxmlformats.org/officeDocument/2006/relationships" ref="G274" r:id="rId431"/>
    <hyperlink xmlns:r="http://schemas.openxmlformats.org/officeDocument/2006/relationships" ref="G275" r:id="rId432"/>
    <hyperlink xmlns:r="http://schemas.openxmlformats.org/officeDocument/2006/relationships" ref="G276" r:id="rId433"/>
    <hyperlink xmlns:r="http://schemas.openxmlformats.org/officeDocument/2006/relationships" ref="G277" r:id="rId434"/>
    <hyperlink xmlns:r="http://schemas.openxmlformats.org/officeDocument/2006/relationships" ref="D278" r:id="rId435"/>
    <hyperlink xmlns:r="http://schemas.openxmlformats.org/officeDocument/2006/relationships" ref="G278" r:id="rId436"/>
    <hyperlink xmlns:r="http://schemas.openxmlformats.org/officeDocument/2006/relationships" ref="G279" r:id="rId437"/>
    <hyperlink xmlns:r="http://schemas.openxmlformats.org/officeDocument/2006/relationships" ref="G280" r:id="rId438"/>
    <hyperlink xmlns:r="http://schemas.openxmlformats.org/officeDocument/2006/relationships" ref="G281" r:id="rId439"/>
    <hyperlink xmlns:r="http://schemas.openxmlformats.org/officeDocument/2006/relationships" ref="G282" r:id="rId440"/>
    <hyperlink xmlns:r="http://schemas.openxmlformats.org/officeDocument/2006/relationships" ref="G283" r:id="rId441"/>
    <hyperlink xmlns:r="http://schemas.openxmlformats.org/officeDocument/2006/relationships" ref="G284" r:id="rId442"/>
    <hyperlink xmlns:r="http://schemas.openxmlformats.org/officeDocument/2006/relationships" ref="G285" r:id="rId443"/>
    <hyperlink xmlns:r="http://schemas.openxmlformats.org/officeDocument/2006/relationships" ref="G286" r:id="rId444"/>
    <hyperlink xmlns:r="http://schemas.openxmlformats.org/officeDocument/2006/relationships" ref="G287" r:id="rId445"/>
    <hyperlink xmlns:r="http://schemas.openxmlformats.org/officeDocument/2006/relationships" ref="G288" r:id="rId446"/>
    <hyperlink xmlns:r="http://schemas.openxmlformats.org/officeDocument/2006/relationships" ref="D289" r:id="rId447"/>
    <hyperlink xmlns:r="http://schemas.openxmlformats.org/officeDocument/2006/relationships" ref="G289" r:id="rId448"/>
    <hyperlink xmlns:r="http://schemas.openxmlformats.org/officeDocument/2006/relationships" ref="G290" r:id="rId449"/>
    <hyperlink xmlns:r="http://schemas.openxmlformats.org/officeDocument/2006/relationships" ref="G291" r:id="rId450"/>
    <hyperlink xmlns:r="http://schemas.openxmlformats.org/officeDocument/2006/relationships" ref="G292" r:id="rId451"/>
    <hyperlink xmlns:r="http://schemas.openxmlformats.org/officeDocument/2006/relationships" ref="G293" r:id="rId452"/>
    <hyperlink xmlns:r="http://schemas.openxmlformats.org/officeDocument/2006/relationships" ref="G294" r:id="rId453"/>
    <hyperlink xmlns:r="http://schemas.openxmlformats.org/officeDocument/2006/relationships" ref="G295" r:id="rId454"/>
    <hyperlink xmlns:r="http://schemas.openxmlformats.org/officeDocument/2006/relationships" ref="G296" r:id="rId455"/>
    <hyperlink xmlns:r="http://schemas.openxmlformats.org/officeDocument/2006/relationships" ref="G297" r:id="rId456"/>
    <hyperlink xmlns:r="http://schemas.openxmlformats.org/officeDocument/2006/relationships" ref="G298" r:id="rId457"/>
    <hyperlink xmlns:r="http://schemas.openxmlformats.org/officeDocument/2006/relationships" ref="G299" r:id="rId458"/>
    <hyperlink xmlns:r="http://schemas.openxmlformats.org/officeDocument/2006/relationships" ref="G300" r:id="rId459"/>
    <hyperlink xmlns:r="http://schemas.openxmlformats.org/officeDocument/2006/relationships" ref="G301" r:id="rId460"/>
    <hyperlink xmlns:r="http://schemas.openxmlformats.org/officeDocument/2006/relationships" ref="G302" r:id="rId461"/>
    <hyperlink xmlns:r="http://schemas.openxmlformats.org/officeDocument/2006/relationships" ref="G303" r:id="rId462"/>
    <hyperlink xmlns:r="http://schemas.openxmlformats.org/officeDocument/2006/relationships" ref="G304" r:id="rId463"/>
    <hyperlink xmlns:r="http://schemas.openxmlformats.org/officeDocument/2006/relationships" ref="G305" r:id="rId464"/>
    <hyperlink xmlns:r="http://schemas.openxmlformats.org/officeDocument/2006/relationships" ref="G306" r:id="rId465"/>
    <hyperlink xmlns:r="http://schemas.openxmlformats.org/officeDocument/2006/relationships" ref="D307" r:id="rId466"/>
    <hyperlink xmlns:r="http://schemas.openxmlformats.org/officeDocument/2006/relationships" ref="G307" r:id="rId467"/>
    <hyperlink xmlns:r="http://schemas.openxmlformats.org/officeDocument/2006/relationships" ref="G308" r:id="rId468"/>
    <hyperlink xmlns:r="http://schemas.openxmlformats.org/officeDocument/2006/relationships" ref="G309" r:id="rId469"/>
    <hyperlink xmlns:r="http://schemas.openxmlformats.org/officeDocument/2006/relationships" ref="G310" r:id="rId470"/>
    <hyperlink xmlns:r="http://schemas.openxmlformats.org/officeDocument/2006/relationships" ref="G311" r:id="rId471"/>
    <hyperlink xmlns:r="http://schemas.openxmlformats.org/officeDocument/2006/relationships" ref="G312" r:id="rId472"/>
    <hyperlink xmlns:r="http://schemas.openxmlformats.org/officeDocument/2006/relationships" ref="G313" r:id="rId473"/>
    <hyperlink xmlns:r="http://schemas.openxmlformats.org/officeDocument/2006/relationships" ref="G314" r:id="rId474"/>
    <hyperlink xmlns:r="http://schemas.openxmlformats.org/officeDocument/2006/relationships" ref="G315" r:id="rId475"/>
    <hyperlink xmlns:r="http://schemas.openxmlformats.org/officeDocument/2006/relationships" ref="G316" r:id="rId476"/>
    <hyperlink xmlns:r="http://schemas.openxmlformats.org/officeDocument/2006/relationships" ref="G317" r:id="rId477"/>
    <hyperlink xmlns:r="http://schemas.openxmlformats.org/officeDocument/2006/relationships" ref="G318" r:id="rId478"/>
    <hyperlink xmlns:r="http://schemas.openxmlformats.org/officeDocument/2006/relationships" ref="G319" r:id="rId479"/>
    <hyperlink xmlns:r="http://schemas.openxmlformats.org/officeDocument/2006/relationships" ref="G320" r:id="rId480"/>
    <hyperlink xmlns:r="http://schemas.openxmlformats.org/officeDocument/2006/relationships" ref="G321" r:id="rId481"/>
    <hyperlink xmlns:r="http://schemas.openxmlformats.org/officeDocument/2006/relationships" ref="G322" r:id="rId482"/>
    <hyperlink xmlns:r="http://schemas.openxmlformats.org/officeDocument/2006/relationships" ref="G323" r:id="rId483"/>
    <hyperlink xmlns:r="http://schemas.openxmlformats.org/officeDocument/2006/relationships" ref="G324" r:id="rId484"/>
    <hyperlink xmlns:r="http://schemas.openxmlformats.org/officeDocument/2006/relationships" ref="G325" r:id="rId485"/>
    <hyperlink xmlns:r="http://schemas.openxmlformats.org/officeDocument/2006/relationships" ref="G326" r:id="rId486"/>
    <hyperlink xmlns:r="http://schemas.openxmlformats.org/officeDocument/2006/relationships" ref="G327" r:id="rId487"/>
    <hyperlink xmlns:r="http://schemas.openxmlformats.org/officeDocument/2006/relationships" ref="G328" r:id="rId488"/>
    <hyperlink xmlns:r="http://schemas.openxmlformats.org/officeDocument/2006/relationships" ref="G329" r:id="rId489"/>
    <hyperlink xmlns:r="http://schemas.openxmlformats.org/officeDocument/2006/relationships" ref="G330" r:id="rId490"/>
    <hyperlink xmlns:r="http://schemas.openxmlformats.org/officeDocument/2006/relationships" ref="G331" r:id="rId491"/>
    <hyperlink xmlns:r="http://schemas.openxmlformats.org/officeDocument/2006/relationships" ref="G332" r:id="rId492"/>
    <hyperlink xmlns:r="http://schemas.openxmlformats.org/officeDocument/2006/relationships" ref="G333" r:id="rId493"/>
    <hyperlink xmlns:r="http://schemas.openxmlformats.org/officeDocument/2006/relationships" ref="G334" r:id="rId494"/>
    <hyperlink xmlns:r="http://schemas.openxmlformats.org/officeDocument/2006/relationships" ref="G335" r:id="rId495"/>
    <hyperlink xmlns:r="http://schemas.openxmlformats.org/officeDocument/2006/relationships" ref="G336" r:id="rId496"/>
    <hyperlink xmlns:r="http://schemas.openxmlformats.org/officeDocument/2006/relationships" ref="G337" r:id="rId497"/>
    <hyperlink xmlns:r="http://schemas.openxmlformats.org/officeDocument/2006/relationships" ref="D338" r:id="rId498"/>
    <hyperlink xmlns:r="http://schemas.openxmlformats.org/officeDocument/2006/relationships" ref="G338" r:id="rId499"/>
    <hyperlink xmlns:r="http://schemas.openxmlformats.org/officeDocument/2006/relationships" ref="G339" r:id="rId500"/>
    <hyperlink xmlns:r="http://schemas.openxmlformats.org/officeDocument/2006/relationships" ref="D340" r:id="rId501"/>
    <hyperlink xmlns:r="http://schemas.openxmlformats.org/officeDocument/2006/relationships" ref="G340" r:id="rId502"/>
    <hyperlink xmlns:r="http://schemas.openxmlformats.org/officeDocument/2006/relationships" ref="G341" r:id="rId503"/>
    <hyperlink xmlns:r="http://schemas.openxmlformats.org/officeDocument/2006/relationships" ref="G342" r:id="rId504"/>
    <hyperlink xmlns:r="http://schemas.openxmlformats.org/officeDocument/2006/relationships" ref="G343" r:id="rId505"/>
    <hyperlink xmlns:r="http://schemas.openxmlformats.org/officeDocument/2006/relationships" ref="G344" r:id="rId506"/>
    <hyperlink xmlns:r="http://schemas.openxmlformats.org/officeDocument/2006/relationships" ref="G345" r:id="rId507"/>
    <hyperlink xmlns:r="http://schemas.openxmlformats.org/officeDocument/2006/relationships" ref="G346" r:id="rId508"/>
    <hyperlink xmlns:r="http://schemas.openxmlformats.org/officeDocument/2006/relationships" ref="G347" r:id="rId509"/>
    <hyperlink xmlns:r="http://schemas.openxmlformats.org/officeDocument/2006/relationships" ref="G348" r:id="rId510"/>
    <hyperlink xmlns:r="http://schemas.openxmlformats.org/officeDocument/2006/relationships" ref="G349" r:id="rId511"/>
    <hyperlink xmlns:r="http://schemas.openxmlformats.org/officeDocument/2006/relationships" ref="G350" r:id="rId512"/>
    <hyperlink xmlns:r="http://schemas.openxmlformats.org/officeDocument/2006/relationships" ref="G351" r:id="rId513"/>
    <hyperlink xmlns:r="http://schemas.openxmlformats.org/officeDocument/2006/relationships" ref="G352" r:id="rId514"/>
    <hyperlink xmlns:r="http://schemas.openxmlformats.org/officeDocument/2006/relationships" ref="G353" r:id="rId515"/>
    <hyperlink xmlns:r="http://schemas.openxmlformats.org/officeDocument/2006/relationships" ref="G354" r:id="rId516"/>
    <hyperlink xmlns:r="http://schemas.openxmlformats.org/officeDocument/2006/relationships" ref="D355" r:id="rId517"/>
    <hyperlink xmlns:r="http://schemas.openxmlformats.org/officeDocument/2006/relationships" ref="G355" r:id="rId518"/>
    <hyperlink xmlns:r="http://schemas.openxmlformats.org/officeDocument/2006/relationships" ref="G356" r:id="rId519"/>
    <hyperlink xmlns:r="http://schemas.openxmlformats.org/officeDocument/2006/relationships" ref="G357" r:id="rId520"/>
    <hyperlink xmlns:r="http://schemas.openxmlformats.org/officeDocument/2006/relationships" ref="G358" r:id="rId521"/>
    <hyperlink xmlns:r="http://schemas.openxmlformats.org/officeDocument/2006/relationships" ref="G359" r:id="rId522"/>
    <hyperlink xmlns:r="http://schemas.openxmlformats.org/officeDocument/2006/relationships" ref="G360" r:id="rId523"/>
    <hyperlink xmlns:r="http://schemas.openxmlformats.org/officeDocument/2006/relationships" ref="D361" r:id="rId524"/>
    <hyperlink xmlns:r="http://schemas.openxmlformats.org/officeDocument/2006/relationships" ref="G361" r:id="rId525"/>
    <hyperlink xmlns:r="http://schemas.openxmlformats.org/officeDocument/2006/relationships" ref="G362" r:id="rId526"/>
    <hyperlink xmlns:r="http://schemas.openxmlformats.org/officeDocument/2006/relationships" ref="G363" r:id="rId527"/>
    <hyperlink xmlns:r="http://schemas.openxmlformats.org/officeDocument/2006/relationships" ref="G364" r:id="rId528"/>
    <hyperlink xmlns:r="http://schemas.openxmlformats.org/officeDocument/2006/relationships" ref="G365" r:id="rId529"/>
    <hyperlink xmlns:r="http://schemas.openxmlformats.org/officeDocument/2006/relationships" ref="G366" r:id="rId530"/>
    <hyperlink xmlns:r="http://schemas.openxmlformats.org/officeDocument/2006/relationships" ref="G367" r:id="rId531"/>
    <hyperlink xmlns:r="http://schemas.openxmlformats.org/officeDocument/2006/relationships" ref="G368" r:id="rId532"/>
    <hyperlink xmlns:r="http://schemas.openxmlformats.org/officeDocument/2006/relationships" ref="G369" r:id="rId533"/>
    <hyperlink xmlns:r="http://schemas.openxmlformats.org/officeDocument/2006/relationships" ref="G370" r:id="rId534"/>
    <hyperlink xmlns:r="http://schemas.openxmlformats.org/officeDocument/2006/relationships" ref="G371" r:id="rId535"/>
    <hyperlink xmlns:r="http://schemas.openxmlformats.org/officeDocument/2006/relationships" ref="G372" r:id="rId536"/>
    <hyperlink xmlns:r="http://schemas.openxmlformats.org/officeDocument/2006/relationships" ref="G373" r:id="rId537"/>
    <hyperlink xmlns:r="http://schemas.openxmlformats.org/officeDocument/2006/relationships" ref="G374" r:id="rId538"/>
    <hyperlink xmlns:r="http://schemas.openxmlformats.org/officeDocument/2006/relationships" ref="G375" r:id="rId539"/>
    <hyperlink xmlns:r="http://schemas.openxmlformats.org/officeDocument/2006/relationships" ref="G376" r:id="rId540"/>
    <hyperlink xmlns:r="http://schemas.openxmlformats.org/officeDocument/2006/relationships" ref="G377" r:id="rId541"/>
    <hyperlink xmlns:r="http://schemas.openxmlformats.org/officeDocument/2006/relationships" ref="G378" r:id="rId542"/>
    <hyperlink xmlns:r="http://schemas.openxmlformats.org/officeDocument/2006/relationships" ref="G379" r:id="rId543"/>
    <hyperlink xmlns:r="http://schemas.openxmlformats.org/officeDocument/2006/relationships" ref="G380" r:id="rId544"/>
    <hyperlink xmlns:r="http://schemas.openxmlformats.org/officeDocument/2006/relationships" ref="G381" r:id="rId545"/>
    <hyperlink xmlns:r="http://schemas.openxmlformats.org/officeDocument/2006/relationships" ref="G382" r:id="rId546"/>
    <hyperlink xmlns:r="http://schemas.openxmlformats.org/officeDocument/2006/relationships" ref="G383" r:id="rId547"/>
    <hyperlink xmlns:r="http://schemas.openxmlformats.org/officeDocument/2006/relationships" ref="G384" r:id="rId548"/>
    <hyperlink xmlns:r="http://schemas.openxmlformats.org/officeDocument/2006/relationships" ref="G385" r:id="rId549"/>
    <hyperlink xmlns:r="http://schemas.openxmlformats.org/officeDocument/2006/relationships" ref="G386" r:id="rId550"/>
    <hyperlink xmlns:r="http://schemas.openxmlformats.org/officeDocument/2006/relationships" ref="G387" r:id="rId551"/>
    <hyperlink xmlns:r="http://schemas.openxmlformats.org/officeDocument/2006/relationships" ref="G388" r:id="rId552"/>
    <hyperlink xmlns:r="http://schemas.openxmlformats.org/officeDocument/2006/relationships" ref="G389" r:id="rId553"/>
    <hyperlink xmlns:r="http://schemas.openxmlformats.org/officeDocument/2006/relationships" ref="G390" r:id="rId554"/>
    <hyperlink xmlns:r="http://schemas.openxmlformats.org/officeDocument/2006/relationships" ref="D391" r:id="rId555"/>
    <hyperlink xmlns:r="http://schemas.openxmlformats.org/officeDocument/2006/relationships" ref="G391" r:id="rId556"/>
    <hyperlink xmlns:r="http://schemas.openxmlformats.org/officeDocument/2006/relationships" ref="G392" r:id="rId557"/>
    <hyperlink xmlns:r="http://schemas.openxmlformats.org/officeDocument/2006/relationships" ref="G393" r:id="rId558"/>
    <hyperlink xmlns:r="http://schemas.openxmlformats.org/officeDocument/2006/relationships" ref="G394" r:id="rId559"/>
    <hyperlink xmlns:r="http://schemas.openxmlformats.org/officeDocument/2006/relationships" ref="G395" r:id="rId560"/>
    <hyperlink xmlns:r="http://schemas.openxmlformats.org/officeDocument/2006/relationships" ref="G396" r:id="rId561"/>
    <hyperlink xmlns:r="http://schemas.openxmlformats.org/officeDocument/2006/relationships" ref="G397" r:id="rId562"/>
    <hyperlink xmlns:r="http://schemas.openxmlformats.org/officeDocument/2006/relationships" ref="G398" r:id="rId563"/>
    <hyperlink xmlns:r="http://schemas.openxmlformats.org/officeDocument/2006/relationships" ref="G399" r:id="rId564"/>
    <hyperlink xmlns:r="http://schemas.openxmlformats.org/officeDocument/2006/relationships" ref="G400" r:id="rId565"/>
    <hyperlink xmlns:r="http://schemas.openxmlformats.org/officeDocument/2006/relationships" ref="G401" r:id="rId566"/>
    <hyperlink xmlns:r="http://schemas.openxmlformats.org/officeDocument/2006/relationships" ref="G402" r:id="rId567"/>
    <hyperlink xmlns:r="http://schemas.openxmlformats.org/officeDocument/2006/relationships" ref="G403" r:id="rId568"/>
    <hyperlink xmlns:r="http://schemas.openxmlformats.org/officeDocument/2006/relationships" ref="G404" r:id="rId569"/>
    <hyperlink xmlns:r="http://schemas.openxmlformats.org/officeDocument/2006/relationships" ref="G405" r:id="rId570"/>
    <hyperlink xmlns:r="http://schemas.openxmlformats.org/officeDocument/2006/relationships" ref="G406" r:id="rId571"/>
    <hyperlink xmlns:r="http://schemas.openxmlformats.org/officeDocument/2006/relationships" ref="G407" r:id="rId572"/>
    <hyperlink xmlns:r="http://schemas.openxmlformats.org/officeDocument/2006/relationships" ref="D408" r:id="rId573"/>
    <hyperlink xmlns:r="http://schemas.openxmlformats.org/officeDocument/2006/relationships" ref="G408" r:id="rId574"/>
    <hyperlink xmlns:r="http://schemas.openxmlformats.org/officeDocument/2006/relationships" ref="G409" r:id="rId575"/>
    <hyperlink xmlns:r="http://schemas.openxmlformats.org/officeDocument/2006/relationships" ref="G410" r:id="rId576"/>
    <hyperlink xmlns:r="http://schemas.openxmlformats.org/officeDocument/2006/relationships" ref="G411" r:id="rId577"/>
    <hyperlink xmlns:r="http://schemas.openxmlformats.org/officeDocument/2006/relationships" ref="G412" r:id="rId578"/>
    <hyperlink xmlns:r="http://schemas.openxmlformats.org/officeDocument/2006/relationships" ref="G413" r:id="rId579"/>
    <hyperlink xmlns:r="http://schemas.openxmlformats.org/officeDocument/2006/relationships" ref="G414" r:id="rId580"/>
    <hyperlink xmlns:r="http://schemas.openxmlformats.org/officeDocument/2006/relationships" ref="G415" r:id="rId581"/>
    <hyperlink xmlns:r="http://schemas.openxmlformats.org/officeDocument/2006/relationships" ref="G416" r:id="rId582"/>
    <hyperlink xmlns:r="http://schemas.openxmlformats.org/officeDocument/2006/relationships" ref="D417" r:id="rId583"/>
    <hyperlink xmlns:r="http://schemas.openxmlformats.org/officeDocument/2006/relationships" ref="G417" r:id="rId584"/>
    <hyperlink xmlns:r="http://schemas.openxmlformats.org/officeDocument/2006/relationships" ref="G418" r:id="rId585"/>
    <hyperlink xmlns:r="http://schemas.openxmlformats.org/officeDocument/2006/relationships" ref="G419" r:id="rId586"/>
    <hyperlink xmlns:r="http://schemas.openxmlformats.org/officeDocument/2006/relationships" ref="G420" r:id="rId587"/>
    <hyperlink xmlns:r="http://schemas.openxmlformats.org/officeDocument/2006/relationships" ref="G421" r:id="rId588"/>
    <hyperlink xmlns:r="http://schemas.openxmlformats.org/officeDocument/2006/relationships" ref="G422" r:id="rId589"/>
    <hyperlink xmlns:r="http://schemas.openxmlformats.org/officeDocument/2006/relationships" ref="G423" r:id="rId590"/>
    <hyperlink xmlns:r="http://schemas.openxmlformats.org/officeDocument/2006/relationships" ref="G424" r:id="rId591"/>
    <hyperlink xmlns:r="http://schemas.openxmlformats.org/officeDocument/2006/relationships" ref="G425" r:id="rId592"/>
    <hyperlink xmlns:r="http://schemas.openxmlformats.org/officeDocument/2006/relationships" ref="G426" r:id="rId593"/>
    <hyperlink xmlns:r="http://schemas.openxmlformats.org/officeDocument/2006/relationships" ref="G427" r:id="rId594"/>
    <hyperlink xmlns:r="http://schemas.openxmlformats.org/officeDocument/2006/relationships" ref="G428" r:id="rId595"/>
    <hyperlink xmlns:r="http://schemas.openxmlformats.org/officeDocument/2006/relationships" ref="G429" r:id="rId596"/>
    <hyperlink xmlns:r="http://schemas.openxmlformats.org/officeDocument/2006/relationships" ref="G430" r:id="rId597"/>
    <hyperlink xmlns:r="http://schemas.openxmlformats.org/officeDocument/2006/relationships" ref="G431" r:id="rId598"/>
    <hyperlink xmlns:r="http://schemas.openxmlformats.org/officeDocument/2006/relationships" ref="G432" r:id="rId599"/>
    <hyperlink xmlns:r="http://schemas.openxmlformats.org/officeDocument/2006/relationships" ref="G433" r:id="rId600"/>
    <hyperlink xmlns:r="http://schemas.openxmlformats.org/officeDocument/2006/relationships" ref="G434" r:id="rId601"/>
    <hyperlink xmlns:r="http://schemas.openxmlformats.org/officeDocument/2006/relationships" ref="G435" r:id="rId602"/>
    <hyperlink xmlns:r="http://schemas.openxmlformats.org/officeDocument/2006/relationships" ref="G436" r:id="rId603"/>
    <hyperlink xmlns:r="http://schemas.openxmlformats.org/officeDocument/2006/relationships" ref="G437" r:id="rId604"/>
    <hyperlink xmlns:r="http://schemas.openxmlformats.org/officeDocument/2006/relationships" ref="G438" r:id="rId605"/>
    <hyperlink xmlns:r="http://schemas.openxmlformats.org/officeDocument/2006/relationships" ref="G439" r:id="rId606"/>
    <hyperlink xmlns:r="http://schemas.openxmlformats.org/officeDocument/2006/relationships" ref="G440" r:id="rId607"/>
    <hyperlink xmlns:r="http://schemas.openxmlformats.org/officeDocument/2006/relationships" ref="G441" r:id="rId608"/>
    <hyperlink xmlns:r="http://schemas.openxmlformats.org/officeDocument/2006/relationships" ref="D442" r:id="rId609"/>
    <hyperlink xmlns:r="http://schemas.openxmlformats.org/officeDocument/2006/relationships" ref="G442" r:id="rId610"/>
    <hyperlink xmlns:r="http://schemas.openxmlformats.org/officeDocument/2006/relationships" ref="G443" r:id="rId611"/>
    <hyperlink xmlns:r="http://schemas.openxmlformats.org/officeDocument/2006/relationships" ref="G444" r:id="rId612"/>
    <hyperlink xmlns:r="http://schemas.openxmlformats.org/officeDocument/2006/relationships" ref="G445" r:id="rId613"/>
    <hyperlink xmlns:r="http://schemas.openxmlformats.org/officeDocument/2006/relationships" ref="G446" r:id="rId614"/>
    <hyperlink xmlns:r="http://schemas.openxmlformats.org/officeDocument/2006/relationships" ref="G447" r:id="rId615"/>
    <hyperlink xmlns:r="http://schemas.openxmlformats.org/officeDocument/2006/relationships" ref="G448" r:id="rId616"/>
    <hyperlink xmlns:r="http://schemas.openxmlformats.org/officeDocument/2006/relationships" ref="G449" r:id="rId617"/>
    <hyperlink xmlns:r="http://schemas.openxmlformats.org/officeDocument/2006/relationships" ref="G450" r:id="rId618"/>
    <hyperlink xmlns:r="http://schemas.openxmlformats.org/officeDocument/2006/relationships" ref="G451" r:id="rId619"/>
    <hyperlink xmlns:r="http://schemas.openxmlformats.org/officeDocument/2006/relationships" ref="G452" r:id="rId620"/>
    <hyperlink xmlns:r="http://schemas.openxmlformats.org/officeDocument/2006/relationships" ref="G453" r:id="rId621"/>
    <hyperlink xmlns:r="http://schemas.openxmlformats.org/officeDocument/2006/relationships" ref="G454" r:id="rId622"/>
    <hyperlink xmlns:r="http://schemas.openxmlformats.org/officeDocument/2006/relationships" ref="G455" r:id="rId623"/>
    <hyperlink xmlns:r="http://schemas.openxmlformats.org/officeDocument/2006/relationships" ref="G456" r:id="rId624"/>
    <hyperlink xmlns:r="http://schemas.openxmlformats.org/officeDocument/2006/relationships" ref="G457" r:id="rId625"/>
    <hyperlink xmlns:r="http://schemas.openxmlformats.org/officeDocument/2006/relationships" ref="G458" r:id="rId626"/>
    <hyperlink xmlns:r="http://schemas.openxmlformats.org/officeDocument/2006/relationships" ref="G459" r:id="rId627"/>
    <hyperlink xmlns:r="http://schemas.openxmlformats.org/officeDocument/2006/relationships" ref="G460" r:id="rId628"/>
    <hyperlink xmlns:r="http://schemas.openxmlformats.org/officeDocument/2006/relationships" ref="G461" r:id="rId629"/>
    <hyperlink xmlns:r="http://schemas.openxmlformats.org/officeDocument/2006/relationships" ref="D462" r:id="rId630"/>
    <hyperlink xmlns:r="http://schemas.openxmlformats.org/officeDocument/2006/relationships" ref="G462" r:id="rId631"/>
    <hyperlink xmlns:r="http://schemas.openxmlformats.org/officeDocument/2006/relationships" ref="G463" r:id="rId632"/>
    <hyperlink xmlns:r="http://schemas.openxmlformats.org/officeDocument/2006/relationships" ref="G464" r:id="rId633"/>
    <hyperlink xmlns:r="http://schemas.openxmlformats.org/officeDocument/2006/relationships" ref="G465" r:id="rId634"/>
    <hyperlink xmlns:r="http://schemas.openxmlformats.org/officeDocument/2006/relationships" ref="G466" r:id="rId635"/>
    <hyperlink xmlns:r="http://schemas.openxmlformats.org/officeDocument/2006/relationships" ref="G467" r:id="rId636"/>
    <hyperlink xmlns:r="http://schemas.openxmlformats.org/officeDocument/2006/relationships" ref="D468" r:id="rId637"/>
    <hyperlink xmlns:r="http://schemas.openxmlformats.org/officeDocument/2006/relationships" ref="G468" r:id="rId638"/>
    <hyperlink xmlns:r="http://schemas.openxmlformats.org/officeDocument/2006/relationships" ref="G469" r:id="rId639"/>
    <hyperlink xmlns:r="http://schemas.openxmlformats.org/officeDocument/2006/relationships" ref="G470" r:id="rId640"/>
    <hyperlink xmlns:r="http://schemas.openxmlformats.org/officeDocument/2006/relationships" ref="G471" r:id="rId641"/>
    <hyperlink xmlns:r="http://schemas.openxmlformats.org/officeDocument/2006/relationships" ref="G472" r:id="rId642"/>
    <hyperlink xmlns:r="http://schemas.openxmlformats.org/officeDocument/2006/relationships" ref="G473" r:id="rId643"/>
    <hyperlink xmlns:r="http://schemas.openxmlformats.org/officeDocument/2006/relationships" ref="G474" r:id="rId644"/>
    <hyperlink xmlns:r="http://schemas.openxmlformats.org/officeDocument/2006/relationships" ref="G475" r:id="rId645"/>
    <hyperlink xmlns:r="http://schemas.openxmlformats.org/officeDocument/2006/relationships" ref="G476" r:id="rId646"/>
    <hyperlink xmlns:r="http://schemas.openxmlformats.org/officeDocument/2006/relationships" ref="G477" r:id="rId647"/>
  </hyperlinks>
  <pageMargins left="0.75" right="0.75" top="1" bottom="1" header="0.5" footer="0.5"/>
  <drawing xmlns:r="http://schemas.openxmlformats.org/officeDocument/2006/relationships" r:id="rId648"/>
</worksheet>
</file>

<file path=xl/worksheets/sheet2.xml><?xml version="1.0" encoding="utf-8"?>
<worksheet xmlns="http://schemas.openxmlformats.org/spreadsheetml/2006/main">
  <sheetPr>
    <tabColor rgb="00059669"/>
    <outlinePr summaryBelow="1" summaryRight="1"/>
    <pageSetUpPr/>
  </sheetPr>
  <dimension ref="A1:I54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14" customWidth="1" min="4" max="4"/>
    <col width="12" customWidth="1" min="5" max="5"/>
    <col width="30" customWidth="1" min="6" max="6"/>
    <col width="24" customWidth="1" min="8" max="8"/>
    <col width="10" customWidth="1" min="9" max="9"/>
  </cols>
  <sheetData>
    <row r="1" ht="38" customHeight="1">
      <c r="A1" s="41" t="inlineStr">
        <is>
          <t>💰  ТРЕКЕР УГОД — LIBERTY CRM</t>
        </is>
      </c>
    </row>
    <row r="2" ht="34" customHeight="1">
      <c r="A2" s="42" t="inlineStr">
        <is>
          <t>ID КЛІЄНТА</t>
        </is>
      </c>
      <c r="B2" s="42" t="inlineStr">
        <is>
          <t>КАВ'ЯРНЯ</t>
        </is>
      </c>
      <c r="C2" s="42" t="inlineStr">
        <is>
          <t>СТАТУС УГОДИ</t>
        </is>
      </c>
      <c r="D2" s="42" t="inlineStr">
        <is>
          <t>СУМА, грн</t>
        </is>
      </c>
      <c r="E2" s="42" t="inlineStr">
        <is>
          <t>ДАТА УГОДИ</t>
        </is>
      </c>
      <c r="F2" s="42" t="inlineStr">
        <is>
          <t>НОТАТКА</t>
        </is>
      </c>
    </row>
    <row r="3" ht="24" customHeight="1">
      <c r="A3" s="43" t="n"/>
      <c r="B3" s="44">
        <f>IF(A3="","",IFERROR(INDEX('🗂 CRM База'!$B$3:$B$977,A3),"❓ ID не знайдено"))</f>
        <v/>
      </c>
      <c r="C3" s="45" t="n"/>
      <c r="D3" s="46" t="n"/>
      <c r="E3" s="47" t="n"/>
      <c r="F3" s="48" t="n"/>
      <c r="H3" t="inlineStr">
        <is>
          <t>Домовились на зустріч</t>
        </is>
      </c>
      <c r="I3">
        <f>COUNTIF($C$3:$C$52,H3)</f>
        <v/>
      </c>
    </row>
    <row r="4" ht="24" customHeight="1">
      <c r="A4" s="49" t="n"/>
      <c r="B4" s="50">
        <f>IF(A4="","",IFERROR(INDEX('🗂 CRM База'!$B$3:$B$977,A4),"❓ ID не знайдено"))</f>
        <v/>
      </c>
      <c r="C4" s="51" t="n"/>
      <c r="D4" s="52" t="n"/>
      <c r="E4" s="53" t="n"/>
      <c r="F4" s="54" t="n"/>
      <c r="H4" t="inlineStr">
        <is>
          <t>Зустрілись</t>
        </is>
      </c>
      <c r="I4">
        <f>COUNTIF($C$3:$C$52,H4)</f>
        <v/>
      </c>
    </row>
    <row r="5" ht="24" customHeight="1">
      <c r="A5" s="43" t="n"/>
      <c r="B5" s="44">
        <f>IF(A5="","",IFERROR(INDEX('🗂 CRM База'!$B$3:$B$977,A5),"❓ ID не знайдено"))</f>
        <v/>
      </c>
      <c r="C5" s="45" t="n"/>
      <c r="D5" s="46" t="n"/>
      <c r="E5" s="47" t="n"/>
      <c r="F5" s="48" t="n"/>
      <c r="H5" t="inlineStr">
        <is>
          <t>Очікуємо відповіді</t>
        </is>
      </c>
      <c r="I5">
        <f>COUNTIF($C$3:$C$52,H5)</f>
        <v/>
      </c>
    </row>
    <row r="6" ht="24" customHeight="1">
      <c r="A6" s="49" t="n"/>
      <c r="B6" s="50">
        <f>IF(A6="","",IFERROR(INDEX('🗂 CRM База'!$B$3:$B$977,A6),"❓ ID не знайдено"))</f>
        <v/>
      </c>
      <c r="C6" s="51" t="n"/>
      <c r="D6" s="52" t="n"/>
      <c r="E6" s="53" t="n"/>
      <c r="F6" s="54" t="n"/>
      <c r="H6" t="inlineStr">
        <is>
          <t>Презентація</t>
        </is>
      </c>
      <c r="I6">
        <f>COUNTIF($C$3:$C$52,H6)</f>
        <v/>
      </c>
    </row>
    <row r="7" ht="24" customHeight="1">
      <c r="A7" s="43" t="n"/>
      <c r="B7" s="44">
        <f>IF(A7="","",IFERROR(INDEX('🗂 CRM База'!$B$3:$B$977,A7),"❓ ID не знайдено"))</f>
        <v/>
      </c>
      <c r="C7" s="45" t="n"/>
      <c r="D7" s="46" t="n"/>
      <c r="E7" s="47" t="n"/>
      <c r="F7" s="48" t="n"/>
      <c r="H7" t="inlineStr">
        <is>
          <t>Оплачено ✅</t>
        </is>
      </c>
      <c r="I7">
        <f>COUNTIF($C$3:$C$52,H7)</f>
        <v/>
      </c>
    </row>
    <row r="8" ht="24" customHeight="1">
      <c r="A8" s="49" t="n"/>
      <c r="B8" s="50">
        <f>IF(A8="","",IFERROR(INDEX('🗂 CRM База'!$B$3:$B$977,A8),"❓ ID не знайдено"))</f>
        <v/>
      </c>
      <c r="C8" s="51" t="n"/>
      <c r="D8" s="52" t="n"/>
      <c r="E8" s="53" t="n"/>
      <c r="F8" s="54" t="n"/>
      <c r="H8" t="inlineStr">
        <is>
          <t>Скасовано ❌</t>
        </is>
      </c>
      <c r="I8">
        <f>COUNTIF($C$3:$C$52,H8)</f>
        <v/>
      </c>
    </row>
    <row r="9" ht="24" customHeight="1">
      <c r="A9" s="43" t="n"/>
      <c r="B9" s="44">
        <f>IF(A9="","",IFERROR(INDEX('🗂 CRM База'!$B$3:$B$977,A9),"❓ ID не знайдено"))</f>
        <v/>
      </c>
      <c r="C9" s="45" t="n"/>
      <c r="D9" s="46" t="n"/>
      <c r="E9" s="47" t="n"/>
      <c r="F9" s="48" t="n"/>
    </row>
    <row r="10" ht="24" customHeight="1">
      <c r="A10" s="49" t="n"/>
      <c r="B10" s="50">
        <f>IF(A10="","",IFERROR(INDEX('🗂 CRM База'!$B$3:$B$977,A10),"❓ ID не знайдено"))</f>
        <v/>
      </c>
      <c r="C10" s="51" t="n"/>
      <c r="D10" s="52" t="n"/>
      <c r="E10" s="53" t="n"/>
      <c r="F10" s="54" t="n"/>
    </row>
    <row r="11" ht="24" customHeight="1">
      <c r="A11" s="43" t="n"/>
      <c r="B11" s="44">
        <f>IF(A11="","",IFERROR(INDEX('🗂 CRM База'!$B$3:$B$977,A11),"❓ ID не знайдено"))</f>
        <v/>
      </c>
      <c r="C11" s="45" t="n"/>
      <c r="D11" s="46" t="n"/>
      <c r="E11" s="47" t="n"/>
      <c r="F11" s="48" t="n"/>
    </row>
    <row r="12" ht="24" customHeight="1">
      <c r="A12" s="49" t="n"/>
      <c r="B12" s="50">
        <f>IF(A12="","",IFERROR(INDEX('🗂 CRM База'!$B$3:$B$977,A12),"❓ ID не знайдено"))</f>
        <v/>
      </c>
      <c r="C12" s="51" t="n"/>
      <c r="D12" s="52" t="n"/>
      <c r="E12" s="53" t="n"/>
      <c r="F12" s="54" t="n"/>
    </row>
    <row r="13" ht="24" customHeight="1">
      <c r="A13" s="43" t="n"/>
      <c r="B13" s="44">
        <f>IF(A13="","",IFERROR(INDEX('🗂 CRM База'!$B$3:$B$977,A13),"❓ ID не знайдено"))</f>
        <v/>
      </c>
      <c r="C13" s="45" t="n"/>
      <c r="D13" s="46" t="n"/>
      <c r="E13" s="47" t="n"/>
      <c r="F13" s="48" t="n"/>
    </row>
    <row r="14" ht="24" customHeight="1">
      <c r="A14" s="49" t="n"/>
      <c r="B14" s="50">
        <f>IF(A14="","",IFERROR(INDEX('🗂 CRM База'!$B$3:$B$977,A14),"❓ ID не знайдено"))</f>
        <v/>
      </c>
      <c r="C14" s="51" t="n"/>
      <c r="D14" s="52" t="n"/>
      <c r="E14" s="53" t="n"/>
      <c r="F14" s="54" t="n"/>
    </row>
    <row r="15" ht="24" customHeight="1">
      <c r="A15" s="43" t="n"/>
      <c r="B15" s="44">
        <f>IF(A15="","",IFERROR(INDEX('🗂 CRM База'!$B$3:$B$977,A15),"❓ ID не знайдено"))</f>
        <v/>
      </c>
      <c r="C15" s="45" t="n"/>
      <c r="D15" s="46" t="n"/>
      <c r="E15" s="47" t="n"/>
      <c r="F15" s="48" t="n"/>
    </row>
    <row r="16" ht="24" customHeight="1">
      <c r="A16" s="49" t="n"/>
      <c r="B16" s="50">
        <f>IF(A16="","",IFERROR(INDEX('🗂 CRM База'!$B$3:$B$977,A16),"❓ ID не знайдено"))</f>
        <v/>
      </c>
      <c r="C16" s="51" t="n"/>
      <c r="D16" s="52" t="n"/>
      <c r="E16" s="53" t="n"/>
      <c r="F16" s="54" t="n"/>
    </row>
    <row r="17" ht="24" customHeight="1">
      <c r="A17" s="43" t="n"/>
      <c r="B17" s="44">
        <f>IF(A17="","",IFERROR(INDEX('🗂 CRM База'!$B$3:$B$977,A17),"❓ ID не знайдено"))</f>
        <v/>
      </c>
      <c r="C17" s="45" t="n"/>
      <c r="D17" s="46" t="n"/>
      <c r="E17" s="47" t="n"/>
      <c r="F17" s="48" t="n"/>
    </row>
    <row r="18" ht="24" customHeight="1">
      <c r="A18" s="49" t="n"/>
      <c r="B18" s="50">
        <f>IF(A18="","",IFERROR(INDEX('🗂 CRM База'!$B$3:$B$977,A18),"❓ ID не знайдено"))</f>
        <v/>
      </c>
      <c r="C18" s="51" t="n"/>
      <c r="D18" s="52" t="n"/>
      <c r="E18" s="53" t="n"/>
      <c r="F18" s="54" t="n"/>
    </row>
    <row r="19" ht="24" customHeight="1">
      <c r="A19" s="43" t="n"/>
      <c r="B19" s="44">
        <f>IF(A19="","",IFERROR(INDEX('🗂 CRM База'!$B$3:$B$977,A19),"❓ ID не знайдено"))</f>
        <v/>
      </c>
      <c r="C19" s="45" t="n"/>
      <c r="D19" s="46" t="n"/>
      <c r="E19" s="47" t="n"/>
      <c r="F19" s="48" t="n"/>
    </row>
    <row r="20" ht="24" customHeight="1">
      <c r="A20" s="49" t="n"/>
      <c r="B20" s="50">
        <f>IF(A20="","",IFERROR(INDEX('🗂 CRM База'!$B$3:$B$977,A20),"❓ ID не знайдено"))</f>
        <v/>
      </c>
      <c r="C20" s="51" t="n"/>
      <c r="D20" s="52" t="n"/>
      <c r="E20" s="53" t="n"/>
      <c r="F20" s="54" t="n"/>
    </row>
    <row r="21" ht="24" customHeight="1">
      <c r="A21" s="43" t="n"/>
      <c r="B21" s="44">
        <f>IF(A21="","",IFERROR(INDEX('🗂 CRM База'!$B$3:$B$977,A21),"❓ ID не знайдено"))</f>
        <v/>
      </c>
      <c r="C21" s="45" t="n"/>
      <c r="D21" s="46" t="n"/>
      <c r="E21" s="47" t="n"/>
      <c r="F21" s="48" t="n"/>
    </row>
    <row r="22" ht="24" customHeight="1">
      <c r="A22" s="49" t="n"/>
      <c r="B22" s="50">
        <f>IF(A22="","",IFERROR(INDEX('🗂 CRM База'!$B$3:$B$977,A22),"❓ ID не знайдено"))</f>
        <v/>
      </c>
      <c r="C22" s="51" t="n"/>
      <c r="D22" s="52" t="n"/>
      <c r="E22" s="53" t="n"/>
      <c r="F22" s="54" t="n"/>
    </row>
    <row r="23" ht="24" customHeight="1">
      <c r="A23" s="43" t="n"/>
      <c r="B23" s="44">
        <f>IF(A23="","",IFERROR(INDEX('🗂 CRM База'!$B$3:$B$977,A23),"❓ ID не знайдено"))</f>
        <v/>
      </c>
      <c r="C23" s="45" t="n"/>
      <c r="D23" s="46" t="n"/>
      <c r="E23" s="47" t="n"/>
      <c r="F23" s="48" t="n"/>
    </row>
    <row r="24" ht="24" customHeight="1">
      <c r="A24" s="49" t="n"/>
      <c r="B24" s="50">
        <f>IF(A24="","",IFERROR(INDEX('🗂 CRM База'!$B$3:$B$977,A24),"❓ ID не знайдено"))</f>
        <v/>
      </c>
      <c r="C24" s="51" t="n"/>
      <c r="D24" s="52" t="n"/>
      <c r="E24" s="53" t="n"/>
      <c r="F24" s="54" t="n"/>
    </row>
    <row r="25" ht="24" customHeight="1">
      <c r="A25" s="43" t="n"/>
      <c r="B25" s="44">
        <f>IF(A25="","",IFERROR(INDEX('🗂 CRM База'!$B$3:$B$977,A25),"❓ ID не знайдено"))</f>
        <v/>
      </c>
      <c r="C25" s="45" t="n"/>
      <c r="D25" s="46" t="n"/>
      <c r="E25" s="47" t="n"/>
      <c r="F25" s="48" t="n"/>
    </row>
    <row r="26" ht="24" customHeight="1">
      <c r="A26" s="49" t="n"/>
      <c r="B26" s="50">
        <f>IF(A26="","",IFERROR(INDEX('🗂 CRM База'!$B$3:$B$977,A26),"❓ ID не знайдено"))</f>
        <v/>
      </c>
      <c r="C26" s="51" t="n"/>
      <c r="D26" s="52" t="n"/>
      <c r="E26" s="53" t="n"/>
      <c r="F26" s="54" t="n"/>
    </row>
    <row r="27" ht="24" customHeight="1">
      <c r="A27" s="43" t="n"/>
      <c r="B27" s="44">
        <f>IF(A27="","",IFERROR(INDEX('🗂 CRM База'!$B$3:$B$977,A27),"❓ ID не знайдено"))</f>
        <v/>
      </c>
      <c r="C27" s="45" t="n"/>
      <c r="D27" s="46" t="n"/>
      <c r="E27" s="47" t="n"/>
      <c r="F27" s="48" t="n"/>
    </row>
    <row r="28" ht="24" customHeight="1">
      <c r="A28" s="49" t="n"/>
      <c r="B28" s="50">
        <f>IF(A28="","",IFERROR(INDEX('🗂 CRM База'!$B$3:$B$977,A28),"❓ ID не знайдено"))</f>
        <v/>
      </c>
      <c r="C28" s="51" t="n"/>
      <c r="D28" s="52" t="n"/>
      <c r="E28" s="53" t="n"/>
      <c r="F28" s="54" t="n"/>
    </row>
    <row r="29" ht="24" customHeight="1">
      <c r="A29" s="43" t="n"/>
      <c r="B29" s="44">
        <f>IF(A29="","",IFERROR(INDEX('🗂 CRM База'!$B$3:$B$977,A29),"❓ ID не знайдено"))</f>
        <v/>
      </c>
      <c r="C29" s="45" t="n"/>
      <c r="D29" s="46" t="n"/>
      <c r="E29" s="47" t="n"/>
      <c r="F29" s="48" t="n"/>
    </row>
    <row r="30" ht="24" customHeight="1">
      <c r="A30" s="49" t="n"/>
      <c r="B30" s="50">
        <f>IF(A30="","",IFERROR(INDEX('🗂 CRM База'!$B$3:$B$977,A30),"❓ ID не знайдено"))</f>
        <v/>
      </c>
      <c r="C30" s="51" t="n"/>
      <c r="D30" s="52" t="n"/>
      <c r="E30" s="53" t="n"/>
      <c r="F30" s="54" t="n"/>
    </row>
    <row r="31" ht="24" customHeight="1">
      <c r="A31" s="43" t="n"/>
      <c r="B31" s="44">
        <f>IF(A31="","",IFERROR(INDEX('🗂 CRM База'!$B$3:$B$977,A31),"❓ ID не знайдено"))</f>
        <v/>
      </c>
      <c r="C31" s="45" t="n"/>
      <c r="D31" s="46" t="n"/>
      <c r="E31" s="47" t="n"/>
      <c r="F31" s="48" t="n"/>
    </row>
    <row r="32" ht="24" customHeight="1">
      <c r="A32" s="49" t="n"/>
      <c r="B32" s="50">
        <f>IF(A32="","",IFERROR(INDEX('🗂 CRM База'!$B$3:$B$977,A32),"❓ ID не знайдено"))</f>
        <v/>
      </c>
      <c r="C32" s="51" t="n"/>
      <c r="D32" s="52" t="n"/>
      <c r="E32" s="53" t="n"/>
      <c r="F32" s="54" t="n"/>
    </row>
    <row r="33" ht="24" customHeight="1">
      <c r="A33" s="43" t="n"/>
      <c r="B33" s="44">
        <f>IF(A33="","",IFERROR(INDEX('🗂 CRM База'!$B$3:$B$977,A33),"❓ ID не знайдено"))</f>
        <v/>
      </c>
      <c r="C33" s="45" t="n"/>
      <c r="D33" s="46" t="n"/>
      <c r="E33" s="47" t="n"/>
      <c r="F33" s="48" t="n"/>
    </row>
    <row r="34" ht="24" customHeight="1">
      <c r="A34" s="49" t="n"/>
      <c r="B34" s="50">
        <f>IF(A34="","",IFERROR(INDEX('🗂 CRM База'!$B$3:$B$977,A34),"❓ ID не знайдено"))</f>
        <v/>
      </c>
      <c r="C34" s="51" t="n"/>
      <c r="D34" s="52" t="n"/>
      <c r="E34" s="53" t="n"/>
      <c r="F34" s="54" t="n"/>
    </row>
    <row r="35" ht="24" customHeight="1">
      <c r="A35" s="43" t="n"/>
      <c r="B35" s="44">
        <f>IF(A35="","",IFERROR(INDEX('🗂 CRM База'!$B$3:$B$977,A35),"❓ ID не знайдено"))</f>
        <v/>
      </c>
      <c r="C35" s="45" t="n"/>
      <c r="D35" s="46" t="n"/>
      <c r="E35" s="47" t="n"/>
      <c r="F35" s="48" t="n"/>
    </row>
    <row r="36" ht="24" customHeight="1">
      <c r="A36" s="49" t="n"/>
      <c r="B36" s="50">
        <f>IF(A36="","",IFERROR(INDEX('🗂 CRM База'!$B$3:$B$977,A36),"❓ ID не знайдено"))</f>
        <v/>
      </c>
      <c r="C36" s="51" t="n"/>
      <c r="D36" s="52" t="n"/>
      <c r="E36" s="53" t="n"/>
      <c r="F36" s="54" t="n"/>
    </row>
    <row r="37" ht="24" customHeight="1">
      <c r="A37" s="43" t="n"/>
      <c r="B37" s="44">
        <f>IF(A37="","",IFERROR(INDEX('🗂 CRM База'!$B$3:$B$977,A37),"❓ ID не знайдено"))</f>
        <v/>
      </c>
      <c r="C37" s="45" t="n"/>
      <c r="D37" s="46" t="n"/>
      <c r="E37" s="47" t="n"/>
      <c r="F37" s="48" t="n"/>
    </row>
    <row r="38" ht="24" customHeight="1">
      <c r="A38" s="49" t="n"/>
      <c r="B38" s="50">
        <f>IF(A38="","",IFERROR(INDEX('🗂 CRM База'!$B$3:$B$977,A38),"❓ ID не знайдено"))</f>
        <v/>
      </c>
      <c r="C38" s="51" t="n"/>
      <c r="D38" s="52" t="n"/>
      <c r="E38" s="53" t="n"/>
      <c r="F38" s="54" t="n"/>
    </row>
    <row r="39" ht="24" customHeight="1">
      <c r="A39" s="43" t="n"/>
      <c r="B39" s="44">
        <f>IF(A39="","",IFERROR(INDEX('🗂 CRM База'!$B$3:$B$977,A39),"❓ ID не знайдено"))</f>
        <v/>
      </c>
      <c r="C39" s="45" t="n"/>
      <c r="D39" s="46" t="n"/>
      <c r="E39" s="47" t="n"/>
      <c r="F39" s="48" t="n"/>
    </row>
    <row r="40" ht="24" customHeight="1">
      <c r="A40" s="49" t="n"/>
      <c r="B40" s="50">
        <f>IF(A40="","",IFERROR(INDEX('🗂 CRM База'!$B$3:$B$977,A40),"❓ ID не знайдено"))</f>
        <v/>
      </c>
      <c r="C40" s="51" t="n"/>
      <c r="D40" s="52" t="n"/>
      <c r="E40" s="53" t="n"/>
      <c r="F40" s="54" t="n"/>
    </row>
    <row r="41" ht="24" customHeight="1">
      <c r="A41" s="43" t="n"/>
      <c r="B41" s="44">
        <f>IF(A41="","",IFERROR(INDEX('🗂 CRM База'!$B$3:$B$977,A41),"❓ ID не знайдено"))</f>
        <v/>
      </c>
      <c r="C41" s="45" t="n"/>
      <c r="D41" s="46" t="n"/>
      <c r="E41" s="47" t="n"/>
      <c r="F41" s="48" t="n"/>
    </row>
    <row r="42" ht="24" customHeight="1">
      <c r="A42" s="49" t="n"/>
      <c r="B42" s="50">
        <f>IF(A42="","",IFERROR(INDEX('🗂 CRM База'!$B$3:$B$977,A42),"❓ ID не знайдено"))</f>
        <v/>
      </c>
      <c r="C42" s="51" t="n"/>
      <c r="D42" s="52" t="n"/>
      <c r="E42" s="53" t="n"/>
      <c r="F42" s="54" t="n"/>
    </row>
    <row r="43" ht="24" customHeight="1">
      <c r="A43" s="43" t="n"/>
      <c r="B43" s="44">
        <f>IF(A43="","",IFERROR(INDEX('🗂 CRM База'!$B$3:$B$977,A43),"❓ ID не знайдено"))</f>
        <v/>
      </c>
      <c r="C43" s="45" t="n"/>
      <c r="D43" s="46" t="n"/>
      <c r="E43" s="47" t="n"/>
      <c r="F43" s="48" t="n"/>
    </row>
    <row r="44" ht="24" customHeight="1">
      <c r="A44" s="49" t="n"/>
      <c r="B44" s="50">
        <f>IF(A44="","",IFERROR(INDEX('🗂 CRM База'!$B$3:$B$977,A44),"❓ ID не знайдено"))</f>
        <v/>
      </c>
      <c r="C44" s="51" t="n"/>
      <c r="D44" s="52" t="n"/>
      <c r="E44" s="53" t="n"/>
      <c r="F44" s="54" t="n"/>
    </row>
    <row r="45" ht="24" customHeight="1">
      <c r="A45" s="43" t="n"/>
      <c r="B45" s="44">
        <f>IF(A45="","",IFERROR(INDEX('🗂 CRM База'!$B$3:$B$977,A45),"❓ ID не знайдено"))</f>
        <v/>
      </c>
      <c r="C45" s="45" t="n"/>
      <c r="D45" s="46" t="n"/>
      <c r="E45" s="47" t="n"/>
      <c r="F45" s="48" t="n"/>
    </row>
    <row r="46" ht="24" customHeight="1">
      <c r="A46" s="49" t="n"/>
      <c r="B46" s="50">
        <f>IF(A46="","",IFERROR(INDEX('🗂 CRM База'!$B$3:$B$977,A46),"❓ ID не знайдено"))</f>
        <v/>
      </c>
      <c r="C46" s="51" t="n"/>
      <c r="D46" s="52" t="n"/>
      <c r="E46" s="53" t="n"/>
      <c r="F46" s="54" t="n"/>
    </row>
    <row r="47" ht="24" customHeight="1">
      <c r="A47" s="43" t="n"/>
      <c r="B47" s="44">
        <f>IF(A47="","",IFERROR(INDEX('🗂 CRM База'!$B$3:$B$977,A47),"❓ ID не знайдено"))</f>
        <v/>
      </c>
      <c r="C47" s="45" t="n"/>
      <c r="D47" s="46" t="n"/>
      <c r="E47" s="47" t="n"/>
      <c r="F47" s="48" t="n"/>
    </row>
    <row r="48" ht="24" customHeight="1">
      <c r="A48" s="49" t="n"/>
      <c r="B48" s="50">
        <f>IF(A48="","",IFERROR(INDEX('🗂 CRM База'!$B$3:$B$977,A48),"❓ ID не знайдено"))</f>
        <v/>
      </c>
      <c r="C48" s="51" t="n"/>
      <c r="D48" s="52" t="n"/>
      <c r="E48" s="53" t="n"/>
      <c r="F48" s="54" t="n"/>
    </row>
    <row r="49" ht="24" customHeight="1">
      <c r="A49" s="43" t="n"/>
      <c r="B49" s="44">
        <f>IF(A49="","",IFERROR(INDEX('🗂 CRM База'!$B$3:$B$977,A49),"❓ ID не знайдено"))</f>
        <v/>
      </c>
      <c r="C49" s="45" t="n"/>
      <c r="D49" s="46" t="n"/>
      <c r="E49" s="47" t="n"/>
      <c r="F49" s="48" t="n"/>
    </row>
    <row r="50" ht="24" customHeight="1">
      <c r="A50" s="49" t="n"/>
      <c r="B50" s="50">
        <f>IF(A50="","",IFERROR(INDEX('🗂 CRM База'!$B$3:$B$977,A50),"❓ ID не знайдено"))</f>
        <v/>
      </c>
      <c r="C50" s="51" t="n"/>
      <c r="D50" s="52" t="n"/>
      <c r="E50" s="53" t="n"/>
      <c r="F50" s="54" t="n"/>
    </row>
    <row r="51" ht="24" customHeight="1">
      <c r="A51" s="43" t="n"/>
      <c r="B51" s="44">
        <f>IF(A51="","",IFERROR(INDEX('🗂 CRM База'!$B$3:$B$977,A51),"❓ ID не знайдено"))</f>
        <v/>
      </c>
      <c r="C51" s="45" t="n"/>
      <c r="D51" s="46" t="n"/>
      <c r="E51" s="47" t="n"/>
      <c r="F51" s="48" t="n"/>
    </row>
    <row r="52" ht="24" customHeight="1">
      <c r="A52" s="49" t="n"/>
      <c r="B52" s="50">
        <f>IF(A52="","",IFERROR(INDEX('🗂 CRM База'!$B$3:$B$977,A52),"❓ ID не знайдено"))</f>
        <v/>
      </c>
      <c r="C52" s="51" t="n"/>
      <c r="D52" s="52" t="n"/>
      <c r="E52" s="53" t="n"/>
      <c r="F52" s="54" t="n"/>
    </row>
    <row r="53" ht="18" customHeight="1">
      <c r="D53" s="55" t="inlineStr">
        <is>
          <t>Всього угод</t>
        </is>
      </c>
      <c r="E53" s="55" t="inlineStr">
        <is>
          <t>Оплачено</t>
        </is>
      </c>
      <c r="F53" s="55" t="inlineStr">
        <is>
          <t>Конверсія %</t>
        </is>
      </c>
    </row>
    <row r="54" ht="32" customHeight="1">
      <c r="A54" s="56" t="inlineStr">
        <is>
          <t>💵  ЗАГАЛЬНА ВИРУЧКА</t>
        </is>
      </c>
      <c r="C54" s="57">
        <f>SUMIF(C3:C52,"Оплачено ✅",D3:D52)</f>
        <v/>
      </c>
      <c r="D54" s="58">
        <f>COUNTA(A3:A52)</f>
        <v/>
      </c>
      <c r="E54" s="58">
        <f>COUNTIF(C3:C52,"Оплачено ✅")</f>
        <v/>
      </c>
      <c r="F54" s="59">
        <f>IFERROR(COUNTIF(C3:C52,"Оплачено ✅")/COUNTA(A3:A52)*100,0)</f>
        <v/>
      </c>
    </row>
  </sheetData>
  <mergeCells count="2">
    <mergeCell ref="A1:F1"/>
    <mergeCell ref="A54:B54"/>
  </mergeCells>
  <dataValidations count="50">
    <dataValidation sqref="C3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4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5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6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7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8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9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10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11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12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13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14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15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16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17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18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19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20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21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22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23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24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25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26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27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28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29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30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31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32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33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34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35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36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37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38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39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40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41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42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43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44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45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46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47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48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49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50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51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  <dataValidation sqref="C52" showDropDown="0" showInputMessage="0" showErrorMessage="0" allowBlank="1" type="list">
      <formula1>"Домовились на зустріч,Зустрілись,Очікуємо відповіді,Презентація,Оплачено ✅,Скасовано ❌"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7C3AED"/>
    <outlinePr summaryBelow="1" summaryRight="1"/>
    <pageSetUpPr/>
  </sheetPr>
  <dimension ref="B1:C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50" customWidth="1" min="3" max="3"/>
    <col width="2" customWidth="1" min="4" max="4"/>
  </cols>
  <sheetData>
    <row r="1" ht="34" customHeight="1">
      <c r="B1" s="60" t="inlineStr">
        <is>
          <t>📖  ЛЕГЕНДА — СТАТУСИ, ПРИЧИНИ, СКРИПТИ</t>
        </is>
      </c>
    </row>
    <row r="2" ht="26" customHeight="1">
      <c r="B2" s="61" t="inlineStr">
        <is>
          <t>СТАТУСИ CRM</t>
        </is>
      </c>
      <c r="C2" s="62" t="n"/>
    </row>
    <row r="3" ht="26" customHeight="1">
      <c r="B3" s="63" t="inlineStr">
        <is>
          <t>🟡 Новий</t>
        </is>
      </c>
      <c r="C3" s="63" t="inlineStr">
        <is>
          <t>Перший контакт ще не відбувся</t>
        </is>
      </c>
    </row>
    <row r="4" ht="26" customHeight="1">
      <c r="B4" s="63" t="inlineStr">
        <is>
          <t>🔵 Домовляємось</t>
        </is>
      </c>
      <c r="C4" s="63" t="inlineStr">
        <is>
          <t>Ведемо перемовини, обговорюємо деталі</t>
        </is>
      </c>
    </row>
    <row r="5" ht="26" customHeight="1">
      <c r="B5" s="63" t="inlineStr">
        <is>
          <t>🟣 Презентація</t>
        </is>
      </c>
      <c r="C5" s="63" t="inlineStr">
        <is>
          <t>Показали демо — liberty-cafe.onrender.com</t>
        </is>
      </c>
    </row>
    <row r="6" ht="26" customHeight="1">
      <c r="B6" s="63" t="inlineStr">
        <is>
          <t>🟠 Думає</t>
        </is>
      </c>
      <c r="C6" s="63" t="inlineStr">
        <is>
          <t>Клієнт розглядає пропозицію</t>
        </is>
      </c>
    </row>
    <row r="7" ht="26" customHeight="1">
      <c r="B7" s="63" t="inlineStr">
        <is>
          <t>🟢 Продано</t>
        </is>
      </c>
      <c r="C7" s="63" t="inlineStr">
        <is>
          <t>✅ Угода закрита, отримали оплату</t>
        </is>
      </c>
    </row>
    <row r="8" ht="26" customHeight="1">
      <c r="B8" s="63" t="inlineStr">
        <is>
          <t>🔴 Відмовився</t>
        </is>
      </c>
      <c r="C8" s="63" t="inlineStr">
        <is>
          <t>Не зацікавлений — повернись через 3 місяці</t>
        </is>
      </c>
    </row>
    <row r="9" ht="8" customHeight="1"/>
    <row r="10" ht="26" customHeight="1">
      <c r="B10" s="64" t="inlineStr">
        <is>
          <t>ТИП ЛІДУ → СТРАТЕГІЯ</t>
        </is>
      </c>
      <c r="C10" s="62" t="n"/>
    </row>
    <row r="11" ht="26" customHeight="1">
      <c r="B11" s="65" t="inlineStr">
        <is>
          <t>🔥 Без сайту</t>
        </is>
      </c>
      <c r="C11" s="65" t="inlineStr">
        <is>
          <t>Дзвінок або візит. «Знайшов вас в Google — немає сайту, є 5 хв?»</t>
        </is>
      </c>
    </row>
    <row r="12" ht="26" customHeight="1">
      <c r="B12" s="65" t="inlineStr">
        <is>
          <t>📸 Instagram тільки</t>
        </is>
      </c>
      <c r="C12" s="65" t="inlineStr">
        <is>
          <t>Direct: «Ваші фото — вогонь! Але Google вас не показує. Маю рішення»</t>
        </is>
      </c>
    </row>
    <row r="13" ht="26" customHeight="1">
      <c r="B13" s="65" t="inlineStr">
        <is>
          <t>🌐 Є сайт</t>
        </is>
      </c>
      <c r="C13" s="65" t="inlineStr">
        <is>
          <t>Відкрий їх сайт на телефоні при власнику. Мовчки. Нехай самі побачать.</t>
        </is>
      </c>
    </row>
    <row r="14" ht="8" customHeight="1"/>
    <row r="15" ht="26" customHeight="1">
      <c r="B15" s="66" t="inlineStr">
        <is>
          <t>СКРИПТ ПЕРШОГО КОНТАКТУ</t>
        </is>
      </c>
      <c r="C15" s="62" t="n"/>
    </row>
    <row r="16" ht="26" customHeight="1">
      <c r="B16" s="67" t="inlineStr">
        <is>
          <t>Крок 1 →</t>
        </is>
      </c>
      <c r="C16" s="67" t="inlineStr">
        <is>
          <t>«Добрий день! Я [ім'я], роблю сайти для кав'ярень у Львові»</t>
        </is>
      </c>
    </row>
    <row r="17" ht="26" customHeight="1">
      <c r="B17" s="67" t="inlineStr">
        <is>
          <t>Крок 2 →</t>
        </is>
      </c>
      <c r="C17" s="67" t="inlineStr">
        <is>
          <t>«Знайшов вас — помітив що [причина]. Хочу показати щось за 3 хв»</t>
        </is>
      </c>
    </row>
    <row r="18" ht="26" customHeight="1">
      <c r="B18" s="67" t="inlineStr">
        <is>
          <t>Крок 3 →</t>
        </is>
      </c>
      <c r="C18" s="67" t="inlineStr">
        <is>
          <t>Показуєш liberty-cafe.onrender.com на своєму телефоні</t>
        </is>
      </c>
    </row>
    <row r="19" ht="26" customHeight="1">
      <c r="B19" s="67" t="inlineStr">
        <is>
          <t>Крок 4 →</t>
        </is>
      </c>
      <c r="C19" s="67" t="inlineStr">
        <is>
          <t>«Це я зроблю для вас за [ціна] і [строк]»</t>
        </is>
      </c>
    </row>
    <row r="20" ht="8" customHeight="1"/>
    <row r="21" ht="26" customHeight="1">
      <c r="B21" s="68" t="inlineStr">
        <is>
          <t>ВІДПОВІДІ НА ЗАПЕРЕЧЕННЯ</t>
        </is>
      </c>
      <c r="C21" s="62" t="n"/>
    </row>
    <row r="22" ht="26" customHeight="1">
      <c r="B22" s="69" t="inlineStr">
        <is>
          <t>«Вже є Instagram»</t>
        </is>
      </c>
      <c r="C22" s="69" t="inlineStr">
        <is>
          <t>«Instagram не індексується Google. Людина що шукає 'кав'ярня Львів' — вас не знайде»</t>
        </is>
      </c>
    </row>
    <row r="23" ht="26" customHeight="1">
      <c r="B23" s="69" t="inlineStr">
        <is>
          <t>«Немає часу»</t>
        </is>
      </c>
      <c r="C23" s="69" t="inlineStr">
        <is>
          <t>«Від вас — 30 хв на початку. Далі ви самі оновлюєте меню за 2 кліки»</t>
        </is>
      </c>
    </row>
    <row r="24" ht="26" customHeight="1">
      <c r="B24" s="69" t="inlineStr">
        <is>
          <t>«Дорого»</t>
        </is>
      </c>
      <c r="C24" s="69" t="inlineStr">
        <is>
          <t>«Скільки ви заробляєте з одного столика? Сайт окупається після першого нового клієнта»</t>
        </is>
      </c>
    </row>
    <row r="25" ht="26" customHeight="1">
      <c r="B25" s="69" t="inlineStr">
        <is>
          <t>«Подумаю»</t>
        </is>
      </c>
      <c r="C25" s="69" t="inlineStr">
        <is>
          <t>«Добре! Залишу вам демо прямо зараз — покажете партнеру?» → пиши через 3 дні</t>
        </is>
      </c>
    </row>
  </sheetData>
  <mergeCells count="5">
    <mergeCell ref="B21:C21"/>
    <mergeCell ref="B2:C2"/>
    <mergeCell ref="B15:C15"/>
    <mergeCell ref="B10:C10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2026-07-06T14:12:54Z</dcterms:created>
  <dcterms:modified xsi:type="dcterms:W3CDTF">2026-07-06T14:12:55Z</dcterms:modified>
</cp:coreProperties>
</file>